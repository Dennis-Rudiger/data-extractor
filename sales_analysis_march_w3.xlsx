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 Performance" sheetId="2" state="visible" r:id="rId2"/>
    <sheet xmlns:r="http://schemas.openxmlformats.org/officeDocument/2006/relationships" name="GENERAL HARDWAR" sheetId="3" state="visible" r:id="rId3"/>
    <sheet xmlns:r="http://schemas.openxmlformats.org/officeDocument/2006/relationships" name="PAINTS" sheetId="4" state="visible" r:id="rId4"/>
    <sheet xmlns:r="http://schemas.openxmlformats.org/officeDocument/2006/relationships" name="PLUMBING" sheetId="5" state="visible" r:id="rId5"/>
    <sheet xmlns:r="http://schemas.openxmlformats.org/officeDocument/2006/relationships" name="ELECTRICALS" sheetId="6" state="visible" r:id="rId6"/>
    <sheet xmlns:r="http://schemas.openxmlformats.org/officeDocument/2006/relationships" name="Gladys" sheetId="7" state="visible" r:id="rId7"/>
    <sheet xmlns:r="http://schemas.openxmlformats.org/officeDocument/2006/relationships" name="Betha_Odumo" sheetId="8" state="visible" r:id="rId8"/>
    <sheet xmlns:r="http://schemas.openxmlformats.org/officeDocument/2006/relationships" name="Eliza" sheetId="9" state="visible" r:id="rId9"/>
    <sheet xmlns:r="http://schemas.openxmlformats.org/officeDocument/2006/relationships" name="Stephen" sheetId="10" state="visible" r:id="rId10"/>
    <sheet xmlns:r="http://schemas.openxmlformats.org/officeDocument/2006/relationships" name="Bonface_Muriu" sheetId="11" state="visible" r:id="rId11"/>
    <sheet xmlns:r="http://schemas.openxmlformats.org/officeDocument/2006/relationships" name="Lewis" sheetId="12" state="visible" r:id="rId12"/>
    <sheet xmlns:r="http://schemas.openxmlformats.org/officeDocument/2006/relationships" name="Bonface_Kithek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color rgb="00666666"/>
      <sz val="11"/>
    </font>
    <font>
      <name val="Calibri"/>
      <b val="1"/>
      <color rgb="002C3E50"/>
      <sz val="12"/>
    </font>
    <font>
      <b val="1"/>
    </font>
    <font>
      <name val="Calibri"/>
      <b val="1"/>
      <color rgb="00FFFFFF"/>
      <sz val="11"/>
    </font>
    <font>
      <name val="Calibri"/>
      <b val="1"/>
      <color rgb="002C3E50"/>
      <sz val="14"/>
    </font>
    <font>
      <name val="Calibri"/>
      <b val="1"/>
      <color rgb="00FFFFFF"/>
      <sz val="14"/>
    </font>
    <font>
      <name val="Calibri"/>
      <b val="1"/>
      <color rgb="008E44AD"/>
      <sz val="11"/>
    </font>
    <font>
      <name val="Calibri"/>
      <color rgb="0027AE60"/>
      <sz val="10"/>
    </font>
    <font>
      <name val="Calibri"/>
      <color rgb="00E74C3C"/>
      <sz val="10"/>
    </font>
    <font>
      <name val="Calibri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7" fillId="3" borderId="0" pivotButton="0" quotePrefix="0" xfId="0"/>
    <xf numFmtId="0" fontId="5" fillId="3" borderId="1" applyAlignment="1" pivotButton="0" quotePrefix="0" xfId="0">
      <alignment horizontal="center"/>
    </xf>
    <xf numFmtId="0" fontId="7" fillId="4" borderId="0" pivotButton="0" quotePrefix="0" xfId="0"/>
    <xf numFmtId="0" fontId="5" fillId="4" borderId="1" applyAlignment="1" pivotButton="0" quotePrefix="0" xfId="0">
      <alignment horizontal="center"/>
    </xf>
    <xf numFmtId="0" fontId="7" fillId="5" borderId="0" pivotButton="0" quotePrefix="0" xfId="0"/>
    <xf numFmtId="0" fontId="5" fillId="5" borderId="1" applyAlignment="1" pivotButton="0" quotePrefix="0" xfId="0">
      <alignment horizontal="center"/>
    </xf>
    <xf numFmtId="0" fontId="7" fillId="6" borderId="0" pivotButton="0" quotePrefix="0" xfId="0"/>
    <xf numFmtId="0" fontId="5" fillId="6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Profit by Rep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 Performance'!D3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Performance'!$B$4:$B$10</f>
            </numRef>
          </cat>
          <val>
            <numRef>
              <f>'Rep Performance'!$D$4:$D$10</f>
            </numRef>
          </val>
        </ser>
        <ser>
          <idx val="1"/>
          <order val="1"/>
          <tx>
            <strRef>
              <f>'Rep Performance'!E3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Performance'!$B$4:$B$10</f>
            </numRef>
          </cat>
          <val>
            <numRef>
              <f>'Rep Performance'!$E$4:$E$10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GENERAL HARDWARE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'GENERAL HARDWAR'!B5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'GENERAL HARDWAR'!$A$6:$A$12</f>
            </numRef>
          </cat>
          <val>
            <numRef>
              <f>'GENERAL HARDWAR'!$B$6:$B$12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PAINTS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'PAINTS'!B5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'PAINTS'!$A$6:$A$12</f>
            </numRef>
          </cat>
          <val>
            <numRef>
              <f>'PAINTS'!$B$6:$B$12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PLUMBING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'PLUMBING'!B5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'PLUMBING'!$A$6:$A$12</f>
            </numRef>
          </cat>
          <val>
            <numRef>
              <f>'PLUMBING'!$B$6:$B$12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ELECTRICALS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'ELECTRICALS'!B5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'ELECTRICALS'!$A$6:$A$11</f>
            </numRef>
          </cat>
          <val>
            <numRef>
              <f>'ELECTRICALS'!$B$6:$B$11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SALES ANALYSIS - MARCH WEEK 3, 2026</t>
        </is>
      </c>
    </row>
    <row r="2">
      <c r="A2" s="2" t="inlineStr">
        <is>
          <t>Period: March 16-21, 2026 (6 working days)</t>
        </is>
      </c>
    </row>
    <row r="4">
      <c r="A4" s="3" t="inlineStr">
        <is>
          <t>KEY METRICS</t>
        </is>
      </c>
    </row>
    <row r="5">
      <c r="A5" s="4" t="inlineStr">
        <is>
          <t>Total Sales</t>
        </is>
      </c>
      <c r="B5" s="5" t="n">
        <v>12788645</v>
      </c>
    </row>
    <row r="6">
      <c r="A6" s="4" t="inlineStr">
        <is>
          <t>Total Profit</t>
        </is>
      </c>
      <c r="B6" s="5" t="n">
        <v>1096520.8444</v>
      </c>
    </row>
    <row r="7">
      <c r="A7" s="4" t="inlineStr">
        <is>
          <t>Overall Margin</t>
        </is>
      </c>
      <c r="B7" s="6" t="n">
        <v>0.08574175328191531</v>
      </c>
    </row>
    <row r="8">
      <c r="A8" s="4" t="inlineStr">
        <is>
          <t>Daily Average Sales</t>
        </is>
      </c>
      <c r="B8" s="5" t="n">
        <v>2131440.833333333</v>
      </c>
    </row>
    <row r="9">
      <c r="A9" s="4" t="inlineStr">
        <is>
          <t>Daily Average Profit</t>
        </is>
      </c>
      <c r="B9" s="5" t="n">
        <v>182753.4740666666</v>
      </c>
    </row>
    <row r="11">
      <c r="A11" s="3" t="inlineStr">
        <is>
          <t>MONTHLY TARGET PROGRESS</t>
        </is>
      </c>
    </row>
    <row r="12">
      <c r="A12" s="7" t="inlineStr">
        <is>
          <t>Category</t>
        </is>
      </c>
      <c r="B12" s="7" t="inlineStr">
        <is>
          <t>Monthly Target</t>
        </is>
      </c>
      <c r="C12" s="7" t="inlineStr">
        <is>
          <t>Week 3 Actual</t>
        </is>
      </c>
      <c r="D12" s="7" t="inlineStr">
        <is>
          <t>% Achieved</t>
        </is>
      </c>
      <c r="E12" s="7" t="inlineStr">
        <is>
          <t>Expected %</t>
        </is>
      </c>
      <c r="F12" s="7" t="inlineStr">
        <is>
          <t>Pace</t>
        </is>
      </c>
    </row>
    <row r="13">
      <c r="A13" s="8" t="inlineStr">
        <is>
          <t>GENERAL HARDWARE</t>
        </is>
      </c>
      <c r="B13" s="9" t="n">
        <v>48500000</v>
      </c>
      <c r="C13" s="9" t="n">
        <v>35412619</v>
      </c>
      <c r="D13" s="10" t="n">
        <v>0.7301570927835052</v>
      </c>
      <c r="E13" s="10" t="n">
        <v>0.75</v>
      </c>
      <c r="F13" s="8" t="inlineStr">
        <is>
          <t>Behind</t>
        </is>
      </c>
    </row>
    <row r="14">
      <c r="A14" s="8" t="inlineStr">
        <is>
          <t>PAINTS</t>
        </is>
      </c>
      <c r="B14" s="9" t="n">
        <v>7000000</v>
      </c>
      <c r="C14" s="9" t="n">
        <v>3258343</v>
      </c>
      <c r="D14" s="10" t="n">
        <v>0.4654775714285714</v>
      </c>
      <c r="E14" s="10" t="n">
        <v>0.75</v>
      </c>
      <c r="F14" s="8" t="inlineStr">
        <is>
          <t>Behind</t>
        </is>
      </c>
    </row>
    <row r="15">
      <c r="A15" s="8" t="inlineStr">
        <is>
          <t>PLUMBING</t>
        </is>
      </c>
      <c r="B15" s="9" t="n">
        <v>3000000</v>
      </c>
      <c r="C15" s="9" t="n">
        <v>1392314</v>
      </c>
      <c r="D15" s="10" t="n">
        <v>0.4641046666666667</v>
      </c>
      <c r="E15" s="10" t="n">
        <v>0.75</v>
      </c>
      <c r="F15" s="8" t="inlineStr">
        <is>
          <t>Behind</t>
        </is>
      </c>
    </row>
    <row r="16">
      <c r="A16" s="8" t="inlineStr">
        <is>
          <t>ELECTRICALS</t>
        </is>
      </c>
      <c r="B16" s="9" t="n">
        <v>1500000</v>
      </c>
      <c r="C16" s="9" t="n">
        <v>589235</v>
      </c>
      <c r="D16" s="10" t="n">
        <v>0.3928233333333334</v>
      </c>
      <c r="E16" s="10" t="n">
        <v>0.75</v>
      </c>
      <c r="F16" s="8" t="inlineStr">
        <is>
          <t>Behind</t>
        </is>
      </c>
    </row>
    <row r="17">
      <c r="A17" s="8" t="inlineStr">
        <is>
          <t>OVERALL</t>
        </is>
      </c>
      <c r="B17" s="9" t="n">
        <v>60000000</v>
      </c>
      <c r="C17" s="9" t="n">
        <v>12788645</v>
      </c>
      <c r="D17" s="10" t="n">
        <v>0.2131440833333333</v>
      </c>
      <c r="E17" s="10" t="n">
        <v>0.75</v>
      </c>
      <c r="F17" s="8" t="inlineStr">
        <is>
          <t>Behind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</cols>
  <sheetData>
    <row r="1">
      <c r="A1" s="11" t="inlineStr">
        <is>
          <t>SALES REP PERFORMANCE - MARCH WEEK 3</t>
        </is>
      </c>
    </row>
    <row r="3">
      <c r="A3" s="7" t="inlineStr">
        <is>
          <t>Rank</t>
        </is>
      </c>
      <c r="B3" s="7" t="inlineStr">
        <is>
          <t>Sales Rep</t>
        </is>
      </c>
      <c r="C3" s="7" t="inlineStr">
        <is>
          <t>Role</t>
        </is>
      </c>
      <c r="D3" s="7" t="inlineStr">
        <is>
          <t>Total Sales</t>
        </is>
      </c>
      <c r="E3" s="7" t="inlineStr">
        <is>
          <t>Total Profit</t>
        </is>
      </c>
      <c r="F3" s="7" t="inlineStr">
        <is>
          <t>Margin %</t>
        </is>
      </c>
      <c r="G3" s="7" t="inlineStr">
        <is>
          <t>Total Qty</t>
        </is>
      </c>
      <c r="H3" s="7" t="inlineStr">
        <is>
          <t>Contribution %</t>
        </is>
      </c>
    </row>
    <row r="4">
      <c r="A4" s="8" t="n">
        <v>1</v>
      </c>
      <c r="B4" s="8" t="inlineStr">
        <is>
          <t>Gladys</t>
        </is>
      </c>
      <c r="C4" s="8" t="inlineStr">
        <is>
          <t>General Hardware Team</t>
        </is>
      </c>
      <c r="D4" s="9" t="n">
        <v>4855140</v>
      </c>
      <c r="E4" s="9" t="n">
        <v>279952.2772</v>
      </c>
      <c r="F4" s="10" t="n">
        <v>0.05766101022833534</v>
      </c>
      <c r="G4" s="9" t="n">
        <v>5973.5</v>
      </c>
      <c r="H4" s="10" t="n">
        <v>0.3796445987827483</v>
      </c>
    </row>
    <row r="5">
      <c r="A5" s="8" t="n">
        <v>2</v>
      </c>
      <c r="B5" s="8" t="inlineStr">
        <is>
          <t>Betha Odumo</t>
        </is>
      </c>
      <c r="C5" s="8" t="inlineStr">
        <is>
          <t>General Hardware Team</t>
        </is>
      </c>
      <c r="D5" s="9" t="n">
        <v>3356785</v>
      </c>
      <c r="E5" s="9" t="n">
        <v>257312.6848</v>
      </c>
      <c r="F5" s="10" t="n">
        <v>0.07665450268635018</v>
      </c>
      <c r="G5" s="9" t="n">
        <v>4077.25</v>
      </c>
      <c r="H5" s="10" t="n">
        <v>0.2624816780823926</v>
      </c>
    </row>
    <row r="6">
      <c r="A6" s="8" t="n">
        <v>3</v>
      </c>
      <c r="B6" s="8" t="inlineStr">
        <is>
          <t>Eliza</t>
        </is>
      </c>
      <c r="C6" s="8" t="inlineStr">
        <is>
          <t>General Hardware Team</t>
        </is>
      </c>
      <c r="D6" s="9" t="n">
        <v>2036750</v>
      </c>
      <c r="E6" s="9" t="n">
        <v>155529.4824</v>
      </c>
      <c r="F6" s="10" t="n">
        <v>0.07636159685773904</v>
      </c>
      <c r="G6" s="9" t="n">
        <v>2880.5</v>
      </c>
      <c r="H6" s="10" t="n">
        <v>0.1592623768976307</v>
      </c>
    </row>
    <row r="7">
      <c r="A7" s="8" t="n">
        <v>4</v>
      </c>
      <c r="B7" s="8" t="inlineStr">
        <is>
          <t>Stephen</t>
        </is>
      </c>
      <c r="C7" s="8" t="inlineStr">
        <is>
          <t>General Hardware Team</t>
        </is>
      </c>
      <c r="D7" s="9" t="n">
        <v>1080965</v>
      </c>
      <c r="E7" s="9" t="n">
        <v>116901.0648</v>
      </c>
      <c r="F7" s="10" t="n">
        <v>0.1081450970197925</v>
      </c>
      <c r="G7" s="9" t="n">
        <v>1406.5</v>
      </c>
      <c r="H7" s="10" t="n">
        <v>0.08452537387659129</v>
      </c>
    </row>
    <row r="8">
      <c r="A8" s="8" t="n">
        <v>5</v>
      </c>
      <c r="B8" s="8" t="inlineStr">
        <is>
          <t>Bonface Muriu</t>
        </is>
      </c>
      <c r="C8" s="8" t="inlineStr">
        <is>
          <t>Department Head - Paints</t>
        </is>
      </c>
      <c r="D8" s="9" t="n">
        <v>902470</v>
      </c>
      <c r="E8" s="9" t="n">
        <v>165251.512</v>
      </c>
      <c r="F8" s="10" t="n">
        <v>0.1831102551885381</v>
      </c>
      <c r="G8" s="9" t="n">
        <v>819</v>
      </c>
      <c r="H8" s="10" t="n">
        <v>0.07056807034678028</v>
      </c>
    </row>
    <row r="9">
      <c r="A9" s="8" t="n">
        <v>6</v>
      </c>
      <c r="B9" s="8" t="inlineStr">
        <is>
          <t>Lewis</t>
        </is>
      </c>
      <c r="C9" s="8" t="inlineStr">
        <is>
          <t>Department Head - Plumbing</t>
        </is>
      </c>
      <c r="D9" s="9" t="n">
        <v>381330</v>
      </c>
      <c r="E9" s="9" t="n">
        <v>85293.03679999999</v>
      </c>
      <c r="F9" s="10" t="n">
        <v>0.2236725062282013</v>
      </c>
      <c r="G9" s="9" t="n">
        <v>1236</v>
      </c>
      <c r="H9" s="10" t="n">
        <v>0.02981785795133104</v>
      </c>
    </row>
    <row r="10">
      <c r="A10" s="8" t="n">
        <v>7</v>
      </c>
      <c r="B10" s="8" t="inlineStr">
        <is>
          <t>Bonface Kitheka</t>
        </is>
      </c>
      <c r="C10" s="8" t="inlineStr">
        <is>
          <t>Department Head - Electricals</t>
        </is>
      </c>
      <c r="D10" s="9" t="n">
        <v>175205</v>
      </c>
      <c r="E10" s="9" t="n">
        <v>36280.7864</v>
      </c>
      <c r="F10" s="10" t="n">
        <v>0.2070762044462202</v>
      </c>
      <c r="G10" s="9" t="n">
        <v>1109</v>
      </c>
      <c r="H10" s="10" t="n">
        <v>0.01370004406252578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2" t="inlineStr">
        <is>
          <t>GENERAL HARDWARE - MARCH WEEK 3</t>
        </is>
      </c>
    </row>
    <row r="2">
      <c r="A2" t="inlineStr">
        <is>
          <t>Department Head(s): Gladys, Betha Odumo, Eliza, Stephen</t>
        </is>
      </c>
    </row>
    <row r="3">
      <c r="A3" t="inlineStr">
        <is>
          <t>Total Sales: KES 11,334,521  |  Total Profit: KES 805,714</t>
        </is>
      </c>
    </row>
    <row r="5">
      <c r="A5" s="13" t="inlineStr">
        <is>
          <t>Rep</t>
        </is>
      </c>
      <c r="B5" s="13" t="inlineStr">
        <is>
          <t>Sales (KES)</t>
        </is>
      </c>
      <c r="C5" s="13" t="inlineStr">
        <is>
          <t>Profit (KES)</t>
        </is>
      </c>
      <c r="D5" s="13" t="inlineStr">
        <is>
          <t>Margin %</t>
        </is>
      </c>
      <c r="E5" s="13" t="inlineStr">
        <is>
          <t>Qty</t>
        </is>
      </c>
      <c r="F5" s="13" t="inlineStr">
        <is>
          <t>Share of Dept %</t>
        </is>
      </c>
    </row>
    <row r="6">
      <c r="A6" s="8" t="inlineStr">
        <is>
          <t>Gladys</t>
        </is>
      </c>
      <c r="B6" s="9" t="n">
        <v>4805140</v>
      </c>
      <c r="C6" s="9" t="n">
        <v>270203.8344</v>
      </c>
      <c r="D6" s="10" t="n">
        <v>0.05623225013215016</v>
      </c>
      <c r="E6" s="9" t="n">
        <v>5863.5</v>
      </c>
      <c r="F6" s="10" t="n">
        <v>0.4239385149138636</v>
      </c>
    </row>
    <row r="7">
      <c r="A7" s="8" t="inlineStr">
        <is>
          <t>Betha Odumo</t>
        </is>
      </c>
      <c r="B7" s="9" t="n">
        <v>3275991</v>
      </c>
      <c r="C7" s="9" t="n">
        <v>244979.9824</v>
      </c>
      <c r="D7" s="10" t="n">
        <v>0.07478041984852828</v>
      </c>
      <c r="E7" s="9" t="n">
        <v>3970.25</v>
      </c>
      <c r="F7" s="10" t="n">
        <v>0.2890277410046706</v>
      </c>
    </row>
    <row r="8">
      <c r="A8" s="8" t="inlineStr">
        <is>
          <t>Eliza</t>
        </is>
      </c>
      <c r="B8" s="9" t="n">
        <v>1955050</v>
      </c>
      <c r="C8" s="9" t="n">
        <v>136798.7304</v>
      </c>
      <c r="D8" s="10" t="n">
        <v>0.06997198557581648</v>
      </c>
      <c r="E8" s="9" t="n">
        <v>2681.5</v>
      </c>
      <c r="F8" s="10" t="n">
        <v>0.1724863362112964</v>
      </c>
    </row>
    <row r="9">
      <c r="A9" s="8" t="inlineStr">
        <is>
          <t>Stephen</t>
        </is>
      </c>
      <c r="B9" s="9" t="n">
        <v>1060615</v>
      </c>
      <c r="C9" s="9" t="n">
        <v>112736.0732</v>
      </c>
      <c r="D9" s="10" t="n">
        <v>0.1062931159751654</v>
      </c>
      <c r="E9" s="9" t="n">
        <v>1376.5</v>
      </c>
      <c r="F9" s="10" t="n">
        <v>0.09357387047939653</v>
      </c>
    </row>
    <row r="10">
      <c r="A10" s="8" t="inlineStr">
        <is>
          <t>Lewis</t>
        </is>
      </c>
      <c r="B10" s="9" t="n">
        <v>92065</v>
      </c>
      <c r="C10" s="9" t="n">
        <v>15606.4892</v>
      </c>
      <c r="D10" s="10" t="n">
        <v>0.169515985445066</v>
      </c>
      <c r="E10" s="9" t="n">
        <v>174</v>
      </c>
      <c r="F10" s="10" t="n">
        <v>0.00812253115945526</v>
      </c>
    </row>
    <row r="11">
      <c r="A11" s="8" t="inlineStr">
        <is>
          <t>Bonface Kitheka</t>
        </is>
      </c>
      <c r="B11" s="9" t="n">
        <v>74260</v>
      </c>
      <c r="C11" s="9" t="n">
        <v>11773.4084</v>
      </c>
      <c r="D11" s="10" t="n">
        <v>0.1585430702935631</v>
      </c>
      <c r="E11" s="9" t="n">
        <v>153</v>
      </c>
      <c r="F11" s="10" t="n">
        <v>0.006551666365080624</v>
      </c>
    </row>
    <row r="12">
      <c r="A12" s="8" t="inlineStr">
        <is>
          <t>Bonface Muriu</t>
        </is>
      </c>
      <c r="B12" s="9" t="n">
        <v>71400</v>
      </c>
      <c r="C12" s="9" t="n">
        <v>13615.674</v>
      </c>
      <c r="D12" s="10" t="n">
        <v>0.1906957142857143</v>
      </c>
      <c r="E12" s="9" t="n">
        <v>154</v>
      </c>
      <c r="F12" s="10" t="n">
        <v>0.006299339866236959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4" t="inlineStr">
        <is>
          <t>PAINTS - MARCH WEEK 3</t>
        </is>
      </c>
    </row>
    <row r="2">
      <c r="A2" t="inlineStr">
        <is>
          <t>Department Head(s): Bonface Muriu</t>
        </is>
      </c>
    </row>
    <row r="3">
      <c r="A3" t="inlineStr">
        <is>
          <t>Total Sales: KES 1,049,188  |  Total Profit: KES 191,062</t>
        </is>
      </c>
    </row>
    <row r="5">
      <c r="A5" s="15" t="inlineStr">
        <is>
          <t>Rep</t>
        </is>
      </c>
      <c r="B5" s="15" t="inlineStr">
        <is>
          <t>Sales (KES)</t>
        </is>
      </c>
      <c r="C5" s="15" t="inlineStr">
        <is>
          <t>Profit (KES)</t>
        </is>
      </c>
      <c r="D5" s="15" t="inlineStr">
        <is>
          <t>Margin %</t>
        </is>
      </c>
      <c r="E5" s="15" t="inlineStr">
        <is>
          <t>Qty</t>
        </is>
      </c>
      <c r="F5" s="15" t="inlineStr">
        <is>
          <t>Share of Dept %</t>
        </is>
      </c>
    </row>
    <row r="6">
      <c r="A6" s="8" t="inlineStr">
        <is>
          <t>Bonface Muriu</t>
        </is>
      </c>
      <c r="B6" s="9" t="n">
        <v>824375</v>
      </c>
      <c r="C6" s="9" t="n">
        <v>149071.2056</v>
      </c>
      <c r="D6" s="10" t="n">
        <v>0.1808293623654283</v>
      </c>
      <c r="E6" s="9" t="n">
        <v>645</v>
      </c>
      <c r="F6" s="10" t="n">
        <v>0.7857266762486801</v>
      </c>
    </row>
    <row r="7">
      <c r="A7" s="8" t="inlineStr">
        <is>
          <t>Eliza</t>
        </is>
      </c>
      <c r="B7" s="9" t="n">
        <v>60500</v>
      </c>
      <c r="C7" s="9" t="n">
        <v>11247.7776</v>
      </c>
      <c r="D7" s="10" t="n">
        <v>0.185913679338843</v>
      </c>
      <c r="E7" s="9" t="n">
        <v>103</v>
      </c>
      <c r="F7" s="10" t="n">
        <v>0.0576636408346264</v>
      </c>
    </row>
    <row r="8">
      <c r="A8" s="8" t="inlineStr">
        <is>
          <t>Gladys</t>
        </is>
      </c>
      <c r="B8" s="9" t="n">
        <v>49880</v>
      </c>
      <c r="C8" s="9" t="n">
        <v>9669.469999999999</v>
      </c>
      <c r="D8" s="10" t="n">
        <v>0.1938546511627907</v>
      </c>
      <c r="E8" s="9" t="n">
        <v>107</v>
      </c>
      <c r="F8" s="10" t="n">
        <v>0.04754152735258124</v>
      </c>
    </row>
    <row r="9">
      <c r="A9" s="8" t="inlineStr">
        <is>
          <t>Betha Odumo</t>
        </is>
      </c>
      <c r="B9" s="9" t="n">
        <v>42268</v>
      </c>
      <c r="C9" s="9" t="n">
        <v>6238.549599999999</v>
      </c>
      <c r="D9" s="10" t="n">
        <v>0.147595097946437</v>
      </c>
      <c r="E9" s="9" t="n">
        <v>44</v>
      </c>
      <c r="F9" s="10" t="n">
        <v>0.04028639290575187</v>
      </c>
    </row>
    <row r="10">
      <c r="A10" s="8" t="inlineStr">
        <is>
          <t>Lewis</t>
        </is>
      </c>
      <c r="B10" s="9" t="n">
        <v>33325</v>
      </c>
      <c r="C10" s="9" t="n">
        <v>6500.813999999999</v>
      </c>
      <c r="D10" s="10" t="n">
        <v>0.1950731882970743</v>
      </c>
      <c r="E10" s="9" t="n">
        <v>46</v>
      </c>
      <c r="F10" s="10" t="n">
        <v>0.03176265836056074</v>
      </c>
    </row>
    <row r="11">
      <c r="A11" s="8" t="inlineStr">
        <is>
          <t>Bonface Kitheka</t>
        </is>
      </c>
      <c r="B11" s="9" t="n">
        <v>19890</v>
      </c>
      <c r="C11" s="9" t="n">
        <v>4593.8668</v>
      </c>
      <c r="D11" s="10" t="n">
        <v>0.2309636400201106</v>
      </c>
      <c r="E11" s="9" t="n">
        <v>40</v>
      </c>
      <c r="F11" s="10" t="n">
        <v>0.01895751762315238</v>
      </c>
    </row>
    <row r="12">
      <c r="A12" s="8" t="inlineStr">
        <is>
          <t>Stephen</t>
        </is>
      </c>
      <c r="B12" s="9" t="n">
        <v>18950</v>
      </c>
      <c r="C12" s="9" t="n">
        <v>3740.605599999999</v>
      </c>
      <c r="D12" s="10" t="n">
        <v>0.1973934353562005</v>
      </c>
      <c r="E12" s="9" t="n">
        <v>28</v>
      </c>
      <c r="F12" s="10" t="n">
        <v>0.01806158667464744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6" t="inlineStr">
        <is>
          <t>PLUMBING - MARCH WEEK 3</t>
        </is>
      </c>
    </row>
    <row r="2">
      <c r="A2" t="inlineStr">
        <is>
          <t>Department Head(s): Lewis</t>
        </is>
      </c>
    </row>
    <row r="3">
      <c r="A3" t="inlineStr">
        <is>
          <t>Total Sales: KES 322,591  |  Total Profit: KES 79,203</t>
        </is>
      </c>
    </row>
    <row r="5">
      <c r="A5" s="17" t="inlineStr">
        <is>
          <t>Rep</t>
        </is>
      </c>
      <c r="B5" s="17" t="inlineStr">
        <is>
          <t>Sales (KES)</t>
        </is>
      </c>
      <c r="C5" s="17" t="inlineStr">
        <is>
          <t>Profit (KES)</t>
        </is>
      </c>
      <c r="D5" s="17" t="inlineStr">
        <is>
          <t>Margin %</t>
        </is>
      </c>
      <c r="E5" s="17" t="inlineStr">
        <is>
          <t>Qty</t>
        </is>
      </c>
      <c r="F5" s="17" t="inlineStr">
        <is>
          <t>Share of Dept %</t>
        </is>
      </c>
    </row>
    <row r="6">
      <c r="A6" s="8" t="inlineStr">
        <is>
          <t>Lewis</t>
        </is>
      </c>
      <c r="B6" s="9" t="n">
        <v>255940</v>
      </c>
      <c r="C6" s="9" t="n">
        <v>63185.73359999999</v>
      </c>
      <c r="D6" s="10" t="n">
        <v>0.2468771337032117</v>
      </c>
      <c r="E6" s="9" t="n">
        <v>1016</v>
      </c>
      <c r="F6" s="10" t="n">
        <v>0.7933885322281156</v>
      </c>
    </row>
    <row r="7">
      <c r="A7" s="8" t="inlineStr">
        <is>
          <t>Betha Odumo</t>
        </is>
      </c>
      <c r="B7" s="9" t="n">
        <v>36606</v>
      </c>
      <c r="C7" s="9" t="n">
        <v>5565.4016</v>
      </c>
      <c r="D7" s="10" t="n">
        <v>0.1520352291973993</v>
      </c>
      <c r="E7" s="9" t="n">
        <v>40</v>
      </c>
      <c r="F7" s="10" t="n">
        <v>0.1134749574538657</v>
      </c>
    </row>
    <row r="8">
      <c r="A8" s="8" t="inlineStr">
        <is>
          <t>Eliza</t>
        </is>
      </c>
      <c r="B8" s="9" t="n">
        <v>21050</v>
      </c>
      <c r="C8" s="9" t="n">
        <v>7428.094799999999</v>
      </c>
      <c r="D8" s="10" t="n">
        <v>0.3528786128266033</v>
      </c>
      <c r="E8" s="9" t="n">
        <v>95</v>
      </c>
      <c r="F8" s="10" t="n">
        <v>0.06525290538173725</v>
      </c>
    </row>
    <row r="9">
      <c r="A9" s="8" t="inlineStr">
        <is>
          <t>Bonface Muriu</t>
        </is>
      </c>
      <c r="B9" s="9" t="n">
        <v>5880</v>
      </c>
      <c r="C9" s="9" t="n">
        <v>2110.6896</v>
      </c>
      <c r="D9" s="10" t="n">
        <v>0.3589608163265305</v>
      </c>
      <c r="E9" s="9" t="n">
        <v>14</v>
      </c>
      <c r="F9" s="10" t="n">
        <v>0.01822741489998171</v>
      </c>
    </row>
    <row r="10">
      <c r="A10" s="8" t="inlineStr">
        <is>
          <t>Bonface Kitheka</t>
        </is>
      </c>
      <c r="B10" s="9" t="n">
        <v>1835</v>
      </c>
      <c r="C10" s="9" t="n">
        <v>479.4512</v>
      </c>
      <c r="D10" s="10" t="n">
        <v>0.2612813079019073</v>
      </c>
      <c r="E10" s="9" t="n">
        <v>11</v>
      </c>
      <c r="F10" s="10" t="n">
        <v>0.005688317405011298</v>
      </c>
    </row>
    <row r="11">
      <c r="A11" s="8" t="inlineStr">
        <is>
          <t>Stephen</t>
        </is>
      </c>
      <c r="B11" s="9" t="n">
        <v>1200</v>
      </c>
      <c r="C11" s="9" t="n">
        <v>379.9927999999999</v>
      </c>
      <c r="D11" s="10" t="n">
        <v>0.3166606666666666</v>
      </c>
      <c r="E11" s="9" t="n">
        <v>1</v>
      </c>
      <c r="F11" s="10" t="n">
        <v>0.003719880591833002</v>
      </c>
    </row>
    <row r="12">
      <c r="A12" s="8" t="inlineStr">
        <is>
          <t>Gladys</t>
        </is>
      </c>
      <c r="B12" s="9" t="n">
        <v>80</v>
      </c>
      <c r="C12" s="9" t="n">
        <v>53.97479999999999</v>
      </c>
      <c r="D12" s="10" t="n">
        <v>0.6746849999999999</v>
      </c>
      <c r="E12" s="9" t="n">
        <v>2</v>
      </c>
      <c r="F12" s="10" t="n">
        <v>0.0002479920394555335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8" t="inlineStr">
        <is>
          <t>ELECTRICALS - MARCH WEEK 3</t>
        </is>
      </c>
    </row>
    <row r="2">
      <c r="A2" t="inlineStr">
        <is>
          <t>Department Head(s): Bonface Kitheka</t>
        </is>
      </c>
    </row>
    <row r="3">
      <c r="A3" t="inlineStr">
        <is>
          <t>Total Sales: KES 82,345  |  Total Profit: KES 20,541</t>
        </is>
      </c>
    </row>
    <row r="5">
      <c r="A5" s="19" t="inlineStr">
        <is>
          <t>Rep</t>
        </is>
      </c>
      <c r="B5" s="19" t="inlineStr">
        <is>
          <t>Sales (KES)</t>
        </is>
      </c>
      <c r="C5" s="19" t="inlineStr">
        <is>
          <t>Profit (KES)</t>
        </is>
      </c>
      <c r="D5" s="19" t="inlineStr">
        <is>
          <t>Margin %</t>
        </is>
      </c>
      <c r="E5" s="19" t="inlineStr">
        <is>
          <t>Qty</t>
        </is>
      </c>
      <c r="F5" s="19" t="inlineStr">
        <is>
          <t>Share of Dept %</t>
        </is>
      </c>
    </row>
    <row r="6">
      <c r="A6" s="8" t="inlineStr">
        <is>
          <t>Bonface Kitheka</t>
        </is>
      </c>
      <c r="B6" s="9" t="n">
        <v>79220</v>
      </c>
      <c r="C6" s="9" t="n">
        <v>19434.06</v>
      </c>
      <c r="D6" s="10" t="n">
        <v>0.2453175965665236</v>
      </c>
      <c r="E6" s="9" t="n">
        <v>905</v>
      </c>
      <c r="F6" s="10" t="n">
        <v>0.9620499119557957</v>
      </c>
    </row>
    <row r="7">
      <c r="A7" s="8" t="inlineStr">
        <is>
          <t>Betha Odumo</t>
        </is>
      </c>
      <c r="B7" s="9" t="n">
        <v>1920</v>
      </c>
      <c r="C7" s="9" t="n">
        <v>528.7511999999999</v>
      </c>
      <c r="D7" s="10" t="n">
        <v>0.27539125</v>
      </c>
      <c r="E7" s="9" t="n">
        <v>23</v>
      </c>
      <c r="F7" s="10" t="n">
        <v>0.0233165340943591</v>
      </c>
    </row>
    <row r="8">
      <c r="A8" s="8" t="inlineStr">
        <is>
          <t>Bonface Muriu</t>
        </is>
      </c>
      <c r="B8" s="9" t="n">
        <v>815</v>
      </c>
      <c r="C8" s="9" t="n">
        <v>453.9428</v>
      </c>
      <c r="D8" s="10" t="n">
        <v>0.5569850306748466</v>
      </c>
      <c r="E8" s="9" t="n">
        <v>6</v>
      </c>
      <c r="F8" s="10" t="n">
        <v>0.009897382961928472</v>
      </c>
    </row>
    <row r="9">
      <c r="A9" s="8" t="inlineStr">
        <is>
          <t>Stephen</t>
        </is>
      </c>
      <c r="B9" s="9" t="n">
        <v>200</v>
      </c>
      <c r="C9" s="9" t="n">
        <v>44.3932</v>
      </c>
      <c r="D9" s="10" t="n">
        <v>0.221966</v>
      </c>
      <c r="E9" s="9" t="n">
        <v>1</v>
      </c>
      <c r="F9" s="10" t="n">
        <v>0.002428805634829073</v>
      </c>
    </row>
    <row r="10">
      <c r="A10" s="8" t="inlineStr">
        <is>
          <t>Eliza</t>
        </is>
      </c>
      <c r="B10" s="9" t="n">
        <v>150</v>
      </c>
      <c r="C10" s="9" t="n">
        <v>54.8796</v>
      </c>
      <c r="D10" s="10" t="n">
        <v>0.365864</v>
      </c>
      <c r="E10" s="9" t="n">
        <v>1</v>
      </c>
      <c r="F10" s="10" t="n">
        <v>0.001821604226121805</v>
      </c>
    </row>
    <row r="11">
      <c r="A11" s="8" t="inlineStr">
        <is>
          <t>Gladys</t>
        </is>
      </c>
      <c r="B11" s="9" t="n">
        <v>40</v>
      </c>
      <c r="C11" s="9" t="n">
        <v>24.998</v>
      </c>
      <c r="D11" s="10" t="n">
        <v>0.6249499999999999</v>
      </c>
      <c r="E11" s="9" t="n">
        <v>1</v>
      </c>
      <c r="F11" s="10" t="n">
        <v>0.0004857611269658146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Gladys - General Hardware Team</t>
        </is>
      </c>
    </row>
    <row r="2">
      <c r="A2" s="20" t="inlineStr">
        <is>
          <t>TOP SELLER  TOP PROFIT</t>
        </is>
      </c>
    </row>
    <row r="4">
      <c r="A4" s="7" t="inlineStr">
        <is>
          <t>Total Sales</t>
        </is>
      </c>
      <c r="B4" s="7" t="inlineStr">
        <is>
          <t>Total Profit</t>
        </is>
      </c>
      <c r="C4" s="7" t="inlineStr">
        <is>
          <t>Margin %</t>
        </is>
      </c>
      <c r="D4" s="7" t="inlineStr">
        <is>
          <t>Items Sold</t>
        </is>
      </c>
      <c r="E4" s="7" t="inlineStr">
        <is>
          <t>Sales Rank</t>
        </is>
      </c>
    </row>
    <row r="5">
      <c r="A5" s="9" t="n">
        <v>4855140</v>
      </c>
      <c r="B5" s="9" t="n">
        <v>279952.2772</v>
      </c>
      <c r="C5" s="10" t="n">
        <v>0.05766101022833534</v>
      </c>
      <c r="D5" s="9" t="n">
        <v>5973.5</v>
      </c>
      <c r="E5" s="8" t="n">
        <v>1</v>
      </c>
    </row>
    <row r="7">
      <c r="A7" s="13" t="inlineStr">
        <is>
          <t>Category</t>
        </is>
      </c>
      <c r="B7" s="13" t="inlineStr">
        <is>
          <t>Sales (KES)</t>
        </is>
      </c>
      <c r="C7" s="13" t="inlineStr">
        <is>
          <t>Profit (KES)</t>
        </is>
      </c>
      <c r="D7" s="13" t="inlineStr">
        <is>
          <t>Margin %</t>
        </is>
      </c>
      <c r="E7" s="13" t="inlineStr">
        <is>
          <t>Qty</t>
        </is>
      </c>
    </row>
    <row r="8">
      <c r="A8" s="8" t="inlineStr">
        <is>
          <t>GENERAL HARDWARE</t>
        </is>
      </c>
      <c r="B8" s="9" t="n">
        <v>4805140</v>
      </c>
      <c r="C8" s="9" t="n">
        <v>270203.8344</v>
      </c>
      <c r="D8" s="10" t="n">
        <v>0.05623225013215016</v>
      </c>
      <c r="E8" s="9" t="n">
        <v>5863.5</v>
      </c>
    </row>
    <row r="9">
      <c r="A9" s="8" t="inlineStr">
        <is>
          <t>PAINTS</t>
        </is>
      </c>
      <c r="B9" s="9" t="n">
        <v>49880</v>
      </c>
      <c r="C9" s="9" t="n">
        <v>9669.469999999999</v>
      </c>
      <c r="D9" s="10" t="n">
        <v>0.1938546511627907</v>
      </c>
      <c r="E9" s="9" t="n">
        <v>107</v>
      </c>
    </row>
    <row r="10">
      <c r="A10" s="8" t="inlineStr">
        <is>
          <t>PLUMBING</t>
        </is>
      </c>
      <c r="B10" s="9" t="n">
        <v>80</v>
      </c>
      <c r="C10" s="9" t="n">
        <v>53.97479999999999</v>
      </c>
      <c r="D10" s="10" t="n">
        <v>0.6746849999999999</v>
      </c>
      <c r="E10" s="9" t="n">
        <v>2</v>
      </c>
    </row>
    <row r="11">
      <c r="A11" s="8" t="inlineStr">
        <is>
          <t>ELECTRICALS</t>
        </is>
      </c>
      <c r="B11" s="9" t="n">
        <v>40</v>
      </c>
      <c r="C11" s="9" t="n">
        <v>24.998</v>
      </c>
      <c r="D11" s="10" t="n">
        <v>0.6249499999999999</v>
      </c>
      <c r="E11" s="9" t="n">
        <v>1</v>
      </c>
    </row>
    <row r="13">
      <c r="A13" s="20" t="inlineStr">
        <is>
          <t>Performance Notes</t>
        </is>
      </c>
    </row>
    <row r="14">
      <c r="A14" s="21" t="inlineStr">
        <is>
          <t xml:space="preserve">  Outstanding! Sales 166% above team average</t>
        </is>
      </c>
    </row>
    <row r="15">
      <c r="A15" s="22" t="inlineStr">
        <is>
          <t xml:space="preserve">  Margin at 5.8% below team average of 13.3%</t>
        </is>
      </c>
    </row>
    <row r="16">
      <c r="A16" s="23" t="inlineStr">
        <is>
          <t xml:space="preserve">  General Hardware: 42.4% of dept, 5.6% margin</t>
        </is>
      </c>
    </row>
    <row r="17">
      <c r="A17" s="21" t="inlineStr">
        <is>
          <t xml:space="preserve">  Selling across all 4 categories - excellent product range</t>
        </is>
      </c>
    </row>
    <row r="18">
      <c r="A18" s="23" t="inlineStr">
        <is>
          <t xml:space="preserve">  Best margin in PLUMBING: 67.5%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Betha Odumo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3356785</v>
      </c>
      <c r="B4" s="9" t="n">
        <v>257312.6848</v>
      </c>
      <c r="C4" s="10" t="n">
        <v>0.07665450268635018</v>
      </c>
      <c r="D4" s="9" t="n">
        <v>4077.25</v>
      </c>
      <c r="E4" s="8" t="n">
        <v>2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3275991</v>
      </c>
      <c r="C7" s="9" t="n">
        <v>244979.9824</v>
      </c>
      <c r="D7" s="10" t="n">
        <v>0.07478041984852828</v>
      </c>
      <c r="E7" s="9" t="n">
        <v>3970.25</v>
      </c>
    </row>
    <row r="8">
      <c r="A8" s="8" t="inlineStr">
        <is>
          <t>PAINTS</t>
        </is>
      </c>
      <c r="B8" s="9" t="n">
        <v>42268</v>
      </c>
      <c r="C8" s="9" t="n">
        <v>6238.549599999999</v>
      </c>
      <c r="D8" s="10" t="n">
        <v>0.147595097946437</v>
      </c>
      <c r="E8" s="9" t="n">
        <v>44</v>
      </c>
    </row>
    <row r="9">
      <c r="A9" s="8" t="inlineStr">
        <is>
          <t>PLUMBING</t>
        </is>
      </c>
      <c r="B9" s="9" t="n">
        <v>36606</v>
      </c>
      <c r="C9" s="9" t="n">
        <v>5565.4016</v>
      </c>
      <c r="D9" s="10" t="n">
        <v>0.1520352291973993</v>
      </c>
      <c r="E9" s="9" t="n">
        <v>40</v>
      </c>
    </row>
    <row r="10">
      <c r="A10" s="8" t="inlineStr">
        <is>
          <t>ELECTRICALS</t>
        </is>
      </c>
      <c r="B10" s="9" t="n">
        <v>1920</v>
      </c>
      <c r="C10" s="9" t="n">
        <v>528.7511999999999</v>
      </c>
      <c r="D10" s="10" t="n">
        <v>0.27539125</v>
      </c>
      <c r="E10" s="9" t="n">
        <v>23</v>
      </c>
    </row>
    <row r="12">
      <c r="A12" s="20" t="inlineStr">
        <is>
          <t>Performance Notes</t>
        </is>
      </c>
    </row>
    <row r="13">
      <c r="A13" s="21" t="inlineStr">
        <is>
          <t xml:space="preserve">  Outstanding! Sales 84% above team average</t>
        </is>
      </c>
    </row>
    <row r="14">
      <c r="A14" s="22" t="inlineStr">
        <is>
          <t xml:space="preserve">  Margin at 7.7% below team average of 13.3%</t>
        </is>
      </c>
    </row>
    <row r="15">
      <c r="A15" s="23" t="inlineStr">
        <is>
          <t xml:space="preserve">  General Hardware: 28.9% of dept, 7.5% margin</t>
        </is>
      </c>
    </row>
    <row r="16">
      <c r="A16" s="21" t="inlineStr">
        <is>
          <t xml:space="preserve">  Selling across all 4 categories - excellent product range</t>
        </is>
      </c>
    </row>
    <row r="17">
      <c r="A17" s="23" t="inlineStr">
        <is>
          <t xml:space="preserve">  Best margin in ELECTRICALS: 27.5%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Eliza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2036750</v>
      </c>
      <c r="B4" s="9" t="n">
        <v>155529.4824</v>
      </c>
      <c r="C4" s="10" t="n">
        <v>0.07636159685773904</v>
      </c>
      <c r="D4" s="9" t="n">
        <v>2880.5</v>
      </c>
      <c r="E4" s="8" t="n">
        <v>3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1955050</v>
      </c>
      <c r="C7" s="9" t="n">
        <v>136798.7304</v>
      </c>
      <c r="D7" s="10" t="n">
        <v>0.06997198557581648</v>
      </c>
      <c r="E7" s="9" t="n">
        <v>2681.5</v>
      </c>
    </row>
    <row r="8">
      <c r="A8" s="8" t="inlineStr">
        <is>
          <t>PAINTS</t>
        </is>
      </c>
      <c r="B8" s="9" t="n">
        <v>60500</v>
      </c>
      <c r="C8" s="9" t="n">
        <v>11247.7776</v>
      </c>
      <c r="D8" s="10" t="n">
        <v>0.185913679338843</v>
      </c>
      <c r="E8" s="9" t="n">
        <v>103</v>
      </c>
    </row>
    <row r="9">
      <c r="A9" s="8" t="inlineStr">
        <is>
          <t>PLUMBING</t>
        </is>
      </c>
      <c r="B9" s="9" t="n">
        <v>21050</v>
      </c>
      <c r="C9" s="9" t="n">
        <v>7428.094799999999</v>
      </c>
      <c r="D9" s="10" t="n">
        <v>0.3528786128266033</v>
      </c>
      <c r="E9" s="9" t="n">
        <v>95</v>
      </c>
    </row>
    <row r="10">
      <c r="A10" s="8" t="inlineStr">
        <is>
          <t>ELECTRICALS</t>
        </is>
      </c>
      <c r="B10" s="9" t="n">
        <v>150</v>
      </c>
      <c r="C10" s="9" t="n">
        <v>54.8796</v>
      </c>
      <c r="D10" s="10" t="n">
        <v>0.365864</v>
      </c>
      <c r="E10" s="9" t="n">
        <v>1</v>
      </c>
    </row>
    <row r="12">
      <c r="A12" s="20" t="inlineStr">
        <is>
          <t>Performance Notes</t>
        </is>
      </c>
    </row>
    <row r="13">
      <c r="A13" s="23" t="inlineStr">
        <is>
          <t xml:space="preserve">  Sales 11% above team average - solid performance</t>
        </is>
      </c>
    </row>
    <row r="14">
      <c r="A14" s="22" t="inlineStr">
        <is>
          <t xml:space="preserve">  Margin at 7.6% below team average of 13.3%</t>
        </is>
      </c>
    </row>
    <row r="15">
      <c r="A15" s="23" t="inlineStr">
        <is>
          <t xml:space="preserve">  General Hardware: 17.2% of dept, 7.0% margin</t>
        </is>
      </c>
    </row>
    <row r="16">
      <c r="A16" s="21" t="inlineStr">
        <is>
          <t xml:space="preserve">  Selling across all 4 categories - excellent product range</t>
        </is>
      </c>
    </row>
    <row r="17">
      <c r="A17" s="23" t="inlineStr">
        <is>
          <t xml:space="preserve">  Best margin in ELECTRICALS: 36.6%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Stephen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1080965</v>
      </c>
      <c r="B4" s="9" t="n">
        <v>116901.0648</v>
      </c>
      <c r="C4" s="10" t="n">
        <v>0.1081450970197925</v>
      </c>
      <c r="D4" s="9" t="n">
        <v>1406.5</v>
      </c>
      <c r="E4" s="8" t="n">
        <v>4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1060615</v>
      </c>
      <c r="C7" s="9" t="n">
        <v>112736.0732</v>
      </c>
      <c r="D7" s="10" t="n">
        <v>0.1062931159751654</v>
      </c>
      <c r="E7" s="9" t="n">
        <v>1376.5</v>
      </c>
    </row>
    <row r="8">
      <c r="A8" s="8" t="inlineStr">
        <is>
          <t>PAINTS</t>
        </is>
      </c>
      <c r="B8" s="9" t="n">
        <v>18950</v>
      </c>
      <c r="C8" s="9" t="n">
        <v>3740.605599999999</v>
      </c>
      <c r="D8" s="10" t="n">
        <v>0.1973934353562005</v>
      </c>
      <c r="E8" s="9" t="n">
        <v>28</v>
      </c>
    </row>
    <row r="9">
      <c r="A9" s="8" t="inlineStr">
        <is>
          <t>PLUMBING</t>
        </is>
      </c>
      <c r="B9" s="9" t="n">
        <v>1200</v>
      </c>
      <c r="C9" s="9" t="n">
        <v>379.9927999999999</v>
      </c>
      <c r="D9" s="10" t="n">
        <v>0.3166606666666666</v>
      </c>
      <c r="E9" s="9" t="n">
        <v>1</v>
      </c>
    </row>
    <row r="10">
      <c r="A10" s="8" t="inlineStr">
        <is>
          <t>ELECTRICALS</t>
        </is>
      </c>
      <c r="B10" s="9" t="n">
        <v>200</v>
      </c>
      <c r="C10" s="9" t="n">
        <v>44.3932</v>
      </c>
      <c r="D10" s="10" t="n">
        <v>0.221966</v>
      </c>
      <c r="E10" s="9" t="n">
        <v>1</v>
      </c>
    </row>
    <row r="12">
      <c r="A12" s="20" t="inlineStr">
        <is>
          <t>Performance Notes</t>
        </is>
      </c>
    </row>
    <row r="13">
      <c r="A13" s="22" t="inlineStr">
        <is>
          <t xml:space="preserve">  Sales 41% below team average - needs improvement</t>
        </is>
      </c>
    </row>
    <row r="14">
      <c r="A14" s="22" t="inlineStr">
        <is>
          <t xml:space="preserve">  Margin at 10.8% below team average of 13.3%</t>
        </is>
      </c>
    </row>
    <row r="15">
      <c r="A15" s="23" t="inlineStr">
        <is>
          <t xml:space="preserve">  General Hardware: 9.4% of dept, 10.6% margin</t>
        </is>
      </c>
    </row>
    <row r="16">
      <c r="A16" s="21" t="inlineStr">
        <is>
          <t xml:space="preserve">  Selling across all 4 categories - excellent product range</t>
        </is>
      </c>
    </row>
    <row r="17">
      <c r="A17" s="23" t="inlineStr">
        <is>
          <t xml:space="preserve">  Best margin in PLUMBING: 31.7%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Bonface Muriu - Department Head - Paints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902470</v>
      </c>
      <c r="B4" s="9" t="n">
        <v>165251.512</v>
      </c>
      <c r="C4" s="10" t="n">
        <v>0.1831102551885381</v>
      </c>
      <c r="D4" s="9" t="n">
        <v>819</v>
      </c>
      <c r="E4" s="8" t="n">
        <v>5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71400</v>
      </c>
      <c r="C7" s="9" t="n">
        <v>13615.674</v>
      </c>
      <c r="D7" s="10" t="n">
        <v>0.1906957142857143</v>
      </c>
      <c r="E7" s="9" t="n">
        <v>154</v>
      </c>
    </row>
    <row r="8">
      <c r="A8" s="8" t="inlineStr">
        <is>
          <t>PAINTS</t>
        </is>
      </c>
      <c r="B8" s="9" t="n">
        <v>824375</v>
      </c>
      <c r="C8" s="9" t="n">
        <v>149071.2056</v>
      </c>
      <c r="D8" s="10" t="n">
        <v>0.1808293623654283</v>
      </c>
      <c r="E8" s="9" t="n">
        <v>645</v>
      </c>
    </row>
    <row r="9">
      <c r="A9" s="8" t="inlineStr">
        <is>
          <t>PLUMBING</t>
        </is>
      </c>
      <c r="B9" s="9" t="n">
        <v>5880</v>
      </c>
      <c r="C9" s="9" t="n">
        <v>2110.6896</v>
      </c>
      <c r="D9" s="10" t="n">
        <v>0.3589608163265305</v>
      </c>
      <c r="E9" s="9" t="n">
        <v>14</v>
      </c>
    </row>
    <row r="10">
      <c r="A10" s="8" t="inlineStr">
        <is>
          <t>ELECTRICALS</t>
        </is>
      </c>
      <c r="B10" s="9" t="n">
        <v>815</v>
      </c>
      <c r="C10" s="9" t="n">
        <v>453.9428</v>
      </c>
      <c r="D10" s="10" t="n">
        <v>0.5569850306748466</v>
      </c>
      <c r="E10" s="9" t="n">
        <v>6</v>
      </c>
    </row>
    <row r="12">
      <c r="A12" s="20" t="inlineStr">
        <is>
          <t>Performance Notes</t>
        </is>
      </c>
    </row>
    <row r="13">
      <c r="A13" s="22" t="inlineStr">
        <is>
          <t xml:space="preserve">  Sales 51% below team average - needs improvement</t>
        </is>
      </c>
    </row>
    <row r="14">
      <c r="A14" s="21" t="inlineStr">
        <is>
          <t xml:space="preserve">  Excellent margin at 18.3% (Team avg: 13.3%)</t>
        </is>
      </c>
    </row>
    <row r="15">
      <c r="A15" s="23" t="inlineStr">
        <is>
          <t xml:space="preserve">  Paints Dept Head: 78.6% of dept sales, 18.1% margin</t>
        </is>
      </c>
    </row>
    <row r="16">
      <c r="A16" s="21" t="inlineStr">
        <is>
          <t xml:space="preserve">  Good paints leadership with 78.6% of dept sales</t>
        </is>
      </c>
    </row>
    <row r="17">
      <c r="A17" s="21" t="inlineStr">
        <is>
          <t xml:space="preserve">  Selling across all 4 categories - excellent product range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Lewis - Department Head - Plumbing</t>
        </is>
      </c>
    </row>
    <row r="2">
      <c r="A2" s="20" t="inlineStr">
        <is>
          <t>BEST MARGIN</t>
        </is>
      </c>
    </row>
    <row r="4">
      <c r="A4" s="7" t="inlineStr">
        <is>
          <t>Total Sales</t>
        </is>
      </c>
      <c r="B4" s="7" t="inlineStr">
        <is>
          <t>Total Profit</t>
        </is>
      </c>
      <c r="C4" s="7" t="inlineStr">
        <is>
          <t>Margin %</t>
        </is>
      </c>
      <c r="D4" s="7" t="inlineStr">
        <is>
          <t>Items Sold</t>
        </is>
      </c>
      <c r="E4" s="7" t="inlineStr">
        <is>
          <t>Sales Rank</t>
        </is>
      </c>
    </row>
    <row r="5">
      <c r="A5" s="9" t="n">
        <v>381330</v>
      </c>
      <c r="B5" s="9" t="n">
        <v>85293.03679999999</v>
      </c>
      <c r="C5" s="10" t="n">
        <v>0.2236725062282013</v>
      </c>
      <c r="D5" s="9" t="n">
        <v>1236</v>
      </c>
      <c r="E5" s="8" t="n">
        <v>6</v>
      </c>
    </row>
    <row r="7">
      <c r="A7" s="13" t="inlineStr">
        <is>
          <t>Category</t>
        </is>
      </c>
      <c r="B7" s="13" t="inlineStr">
        <is>
          <t>Sales (KES)</t>
        </is>
      </c>
      <c r="C7" s="13" t="inlineStr">
        <is>
          <t>Profit (KES)</t>
        </is>
      </c>
      <c r="D7" s="13" t="inlineStr">
        <is>
          <t>Margin %</t>
        </is>
      </c>
      <c r="E7" s="13" t="inlineStr">
        <is>
          <t>Qty</t>
        </is>
      </c>
    </row>
    <row r="8">
      <c r="A8" s="8" t="inlineStr">
        <is>
          <t>GENERAL HARDWARE</t>
        </is>
      </c>
      <c r="B8" s="9" t="n">
        <v>92065</v>
      </c>
      <c r="C8" s="9" t="n">
        <v>15606.4892</v>
      </c>
      <c r="D8" s="10" t="n">
        <v>0.169515985445066</v>
      </c>
      <c r="E8" s="9" t="n">
        <v>174</v>
      </c>
    </row>
    <row r="9">
      <c r="A9" s="8" t="inlineStr">
        <is>
          <t>PAINTS</t>
        </is>
      </c>
      <c r="B9" s="9" t="n">
        <v>33325</v>
      </c>
      <c r="C9" s="9" t="n">
        <v>6500.813999999999</v>
      </c>
      <c r="D9" s="10" t="n">
        <v>0.1950731882970743</v>
      </c>
      <c r="E9" s="9" t="n">
        <v>46</v>
      </c>
    </row>
    <row r="10">
      <c r="A10" s="8" t="inlineStr">
        <is>
          <t>PLUMBING</t>
        </is>
      </c>
      <c r="B10" s="9" t="n">
        <v>255940</v>
      </c>
      <c r="C10" s="9" t="n">
        <v>63185.73359999999</v>
      </c>
      <c r="D10" s="10" t="n">
        <v>0.2468771337032117</v>
      </c>
      <c r="E10" s="9" t="n">
        <v>1016</v>
      </c>
    </row>
    <row r="12">
      <c r="A12" s="20" t="inlineStr">
        <is>
          <t>Performance Notes</t>
        </is>
      </c>
    </row>
    <row r="13">
      <c r="A13" s="22" t="inlineStr">
        <is>
          <t xml:space="preserve">  Sales 79% below team average - needs improvement</t>
        </is>
      </c>
    </row>
    <row r="14">
      <c r="A14" s="21" t="inlineStr">
        <is>
          <t xml:space="preserve">  Excellent margin at 22.4% (Team avg: 13.3%)</t>
        </is>
      </c>
    </row>
    <row r="15">
      <c r="A15" s="23" t="inlineStr">
        <is>
          <t xml:space="preserve">  Plumbing Dept Head: 79.3% of dept sales, 24.7% margin</t>
        </is>
      </c>
    </row>
    <row r="16">
      <c r="A16" s="21" t="inlineStr">
        <is>
          <t xml:space="preserve">  Strong plumbing leadership with 79.3% of dept sales</t>
        </is>
      </c>
    </row>
    <row r="17">
      <c r="A17" s="23" t="inlineStr">
        <is>
          <t xml:space="preserve">  Consider expanding into ELECTRICALS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Bonface Kitheka - Department Head - Electricals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175205</v>
      </c>
      <c r="B4" s="9" t="n">
        <v>36280.7864</v>
      </c>
      <c r="C4" s="10" t="n">
        <v>0.2070762044462202</v>
      </c>
      <c r="D4" s="9" t="n">
        <v>1109</v>
      </c>
      <c r="E4" s="8" t="n">
        <v>7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74260</v>
      </c>
      <c r="C7" s="9" t="n">
        <v>11773.4084</v>
      </c>
      <c r="D7" s="10" t="n">
        <v>0.1585430702935631</v>
      </c>
      <c r="E7" s="9" t="n">
        <v>153</v>
      </c>
    </row>
    <row r="8">
      <c r="A8" s="8" t="inlineStr">
        <is>
          <t>PAINTS</t>
        </is>
      </c>
      <c r="B8" s="9" t="n">
        <v>19890</v>
      </c>
      <c r="C8" s="9" t="n">
        <v>4593.8668</v>
      </c>
      <c r="D8" s="10" t="n">
        <v>0.2309636400201106</v>
      </c>
      <c r="E8" s="9" t="n">
        <v>40</v>
      </c>
    </row>
    <row r="9">
      <c r="A9" s="8" t="inlineStr">
        <is>
          <t>PLUMBING</t>
        </is>
      </c>
      <c r="B9" s="9" t="n">
        <v>1835</v>
      </c>
      <c r="C9" s="9" t="n">
        <v>479.4512</v>
      </c>
      <c r="D9" s="10" t="n">
        <v>0.2612813079019073</v>
      </c>
      <c r="E9" s="9" t="n">
        <v>11</v>
      </c>
    </row>
    <row r="10">
      <c r="A10" s="8" t="inlineStr">
        <is>
          <t>ELECTRICALS</t>
        </is>
      </c>
      <c r="B10" s="9" t="n">
        <v>79220</v>
      </c>
      <c r="C10" s="9" t="n">
        <v>19434.06</v>
      </c>
      <c r="D10" s="10" t="n">
        <v>0.2453175965665236</v>
      </c>
      <c r="E10" s="9" t="n">
        <v>905</v>
      </c>
    </row>
    <row r="12">
      <c r="A12" s="20" t="inlineStr">
        <is>
          <t>Performance Notes</t>
        </is>
      </c>
    </row>
    <row r="13">
      <c r="A13" s="22" t="inlineStr">
        <is>
          <t xml:space="preserve">  Sales 90% below team average - needs improvement</t>
        </is>
      </c>
    </row>
    <row r="14">
      <c r="A14" s="21" t="inlineStr">
        <is>
          <t xml:space="preserve">  Excellent margin at 20.7% (Team avg: 13.3%)</t>
        </is>
      </c>
    </row>
    <row r="15">
      <c r="A15" s="23" t="inlineStr">
        <is>
          <t xml:space="preserve">  Electricals Dept Head: 96.2% of dept sales, 24.5% margin</t>
        </is>
      </c>
    </row>
    <row r="16">
      <c r="A16" s="21" t="inlineStr">
        <is>
          <t xml:space="preserve">  Strong leadership - controls 96.2% of department sales</t>
        </is>
      </c>
    </row>
    <row r="17">
      <c r="A17" s="21" t="inlineStr">
        <is>
          <t xml:space="preserve">  Selling across all 4 categories - excellent product range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2026-03-25T09:19:41Z</dcterms:created>
  <dcterms:modified xmlns:dcterms="http://purl.org/dc/terms/" xmlns:xsi="http://www.w3.org/2001/XMLSchema-instance" xsi:type="dcterms:W3CDTF">2026-03-25T09:19:41Z</dcterms:modified>
</cp:coreProperties>
</file>