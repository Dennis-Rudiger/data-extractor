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p Performance" sheetId="2" state="visible" r:id="rId2"/>
    <sheet xmlns:r="http://schemas.openxmlformats.org/officeDocument/2006/relationships" name="GENERAL HARDWAR" sheetId="3" state="visible" r:id="rId3"/>
    <sheet xmlns:r="http://schemas.openxmlformats.org/officeDocument/2006/relationships" name="PAINTS" sheetId="4" state="visible" r:id="rId4"/>
    <sheet xmlns:r="http://schemas.openxmlformats.org/officeDocument/2006/relationships" name="PLUMBING" sheetId="5" state="visible" r:id="rId5"/>
    <sheet xmlns:r="http://schemas.openxmlformats.org/officeDocument/2006/relationships" name="ELECTRICALS" sheetId="6" state="visible" r:id="rId6"/>
    <sheet xmlns:r="http://schemas.openxmlformats.org/officeDocument/2006/relationships" name="Gladys" sheetId="7" state="visible" r:id="rId7"/>
    <sheet xmlns:r="http://schemas.openxmlformats.org/officeDocument/2006/relationships" name="Betha_Odumo" sheetId="8" state="visible" r:id="rId8"/>
    <sheet xmlns:r="http://schemas.openxmlformats.org/officeDocument/2006/relationships" name="Eliza" sheetId="9" state="visible" r:id="rId9"/>
    <sheet xmlns:r="http://schemas.openxmlformats.org/officeDocument/2006/relationships" name="Stephen" sheetId="10" state="visible" r:id="rId10"/>
    <sheet xmlns:r="http://schemas.openxmlformats.org/officeDocument/2006/relationships" name="Bonface_Muriu" sheetId="11" state="visible" r:id="rId11"/>
    <sheet xmlns:r="http://schemas.openxmlformats.org/officeDocument/2006/relationships" name="Lewis" sheetId="12" state="visible" r:id="rId12"/>
    <sheet xmlns:r="http://schemas.openxmlformats.org/officeDocument/2006/relationships" name="Bonface_Kithek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2C3E50"/>
      <sz val="16"/>
    </font>
    <font>
      <name val="Calibri"/>
      <color rgb="00666666"/>
      <sz val="11"/>
    </font>
    <font>
      <name val="Calibri"/>
      <b val="1"/>
      <color rgb="002C3E50"/>
      <sz val="12"/>
    </font>
    <font>
      <b val="1"/>
    </font>
    <font>
      <name val="Calibri"/>
      <b val="1"/>
      <color rgb="00FFFFFF"/>
      <sz val="11"/>
    </font>
    <font>
      <name val="Calibri"/>
      <b val="1"/>
      <color rgb="002C3E50"/>
      <sz val="14"/>
    </font>
    <font>
      <name val="Calibri"/>
      <b val="1"/>
      <color rgb="00FFFFFF"/>
      <sz val="14"/>
    </font>
    <font>
      <name val="Calibri"/>
      <b val="1"/>
      <color rgb="008E44AD"/>
      <sz val="11"/>
    </font>
    <font>
      <name val="Calibri"/>
      <color rgb="0027AE60"/>
      <sz val="10"/>
    </font>
    <font>
      <name val="Calibri"/>
      <color rgb="00E74C3C"/>
      <sz val="10"/>
    </font>
    <font>
      <name val="Calibri"/>
      <color rgb="00555555"/>
      <sz val="10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98DB"/>
        <bgColor rgb="003498DB"/>
      </patternFill>
    </fill>
    <fill>
      <patternFill patternType="solid">
        <fgColor rgb="00E74C3C"/>
        <bgColor rgb="00E74C3C"/>
      </patternFill>
    </fill>
    <fill>
      <patternFill patternType="solid">
        <fgColor rgb="002ECC71"/>
        <bgColor rgb="002ECC71"/>
      </patternFill>
    </fill>
    <fill>
      <patternFill patternType="solid">
        <fgColor rgb="00F39C12"/>
        <bgColor rgb="00F39C1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5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6" fillId="0" borderId="0" pivotButton="0" quotePrefix="0" xfId="0"/>
    <xf numFmtId="0" fontId="7" fillId="3" borderId="0" pivotButton="0" quotePrefix="0" xfId="0"/>
    <xf numFmtId="0" fontId="5" fillId="3" borderId="1" applyAlignment="1" pivotButton="0" quotePrefix="0" xfId="0">
      <alignment horizontal="center"/>
    </xf>
    <xf numFmtId="0" fontId="7" fillId="4" borderId="0" pivotButton="0" quotePrefix="0" xfId="0"/>
    <xf numFmtId="0" fontId="5" fillId="4" borderId="1" applyAlignment="1" pivotButton="0" quotePrefix="0" xfId="0">
      <alignment horizontal="center"/>
    </xf>
    <xf numFmtId="0" fontId="7" fillId="5" borderId="0" pivotButton="0" quotePrefix="0" xfId="0"/>
    <xf numFmtId="0" fontId="5" fillId="5" borderId="1" applyAlignment="1" pivotButton="0" quotePrefix="0" xfId="0">
      <alignment horizontal="center"/>
    </xf>
    <xf numFmtId="0" fontId="7" fillId="6" borderId="0" pivotButton="0" quotePrefix="0" xfId="0"/>
    <xf numFmtId="0" fontId="5" fillId="6" borderId="1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vs Profit by Rep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 Performance'!D3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'Rep Performance'!$B$4:$B$10</f>
            </numRef>
          </cat>
          <val>
            <numRef>
              <f>'Rep Performance'!$D$4:$D$10</f>
            </numRef>
          </val>
        </ser>
        <ser>
          <idx val="1"/>
          <order val="1"/>
          <tx>
            <strRef>
              <f>'Rep Performance'!E3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'Rep Performance'!$B$4:$B$10</f>
            </numRef>
          </cat>
          <val>
            <numRef>
              <f>'Rep Performance'!$E$4:$E$10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Rep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(KES)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GENERAL HARDWARE - Sales Share by Rep</a:t>
            </a:r>
          </a:p>
        </rich>
      </tx>
    </title>
    <plotArea>
      <pieChart>
        <varyColors val="1"/>
        <ser>
          <idx val="0"/>
          <order val="0"/>
          <tx>
            <strRef>
              <f>'GENERAL HARDWAR'!B5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'GENERAL HARDWAR'!$A$6:$A$12</f>
            </numRef>
          </cat>
          <val>
            <numRef>
              <f>'GENERAL HARDWAR'!$B$6:$B$12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PAINTS - Sales Share by Rep</a:t>
            </a:r>
          </a:p>
        </rich>
      </tx>
    </title>
    <plotArea>
      <pieChart>
        <varyColors val="1"/>
        <ser>
          <idx val="0"/>
          <order val="0"/>
          <tx>
            <strRef>
              <f>'PAINTS'!B5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'PAINTS'!$A$6:$A$12</f>
            </numRef>
          </cat>
          <val>
            <numRef>
              <f>'PAINTS'!$B$6:$B$12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PLUMBING - Sales Share by Rep</a:t>
            </a:r>
          </a:p>
        </rich>
      </tx>
    </title>
    <plotArea>
      <pieChart>
        <varyColors val="1"/>
        <ser>
          <idx val="0"/>
          <order val="0"/>
          <tx>
            <strRef>
              <f>'PLUMBING'!B5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'PLUMBING'!$A$6:$A$12</f>
            </numRef>
          </cat>
          <val>
            <numRef>
              <f>'PLUMBING'!$B$6:$B$12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ELECTRICALS - Sales Share by Rep</a:t>
            </a:r>
          </a:p>
        </rich>
      </tx>
    </title>
    <plotArea>
      <pieChart>
        <varyColors val="1"/>
        <ser>
          <idx val="0"/>
          <order val="0"/>
          <tx>
            <strRef>
              <f>'ELECTRICALS'!B5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'ELECTRICALS'!$A$6:$A$9</f>
            </numRef>
          </cat>
          <val>
            <numRef>
              <f>'ELECTRICALS'!$B$6:$B$9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10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4" customWidth="1" min="4" max="4"/>
    <col width="14" customWidth="1" min="5" max="5"/>
    <col width="10" customWidth="1" min="6" max="6"/>
  </cols>
  <sheetData>
    <row r="1">
      <c r="A1" s="1" t="inlineStr">
        <is>
          <t>SALES ANALYSIS - MARCH WEEK 1, 2026</t>
        </is>
      </c>
    </row>
    <row r="2">
      <c r="A2" s="2" t="inlineStr">
        <is>
          <t>Period: March 2-7, 2026 (6 working days)</t>
        </is>
      </c>
    </row>
    <row r="4">
      <c r="A4" s="3" t="inlineStr">
        <is>
          <t>KEY METRICS</t>
        </is>
      </c>
    </row>
    <row r="5">
      <c r="A5" s="4" t="inlineStr">
        <is>
          <t>Total Sales</t>
        </is>
      </c>
      <c r="B5" s="5" t="n">
        <v>12288061</v>
      </c>
    </row>
    <row r="6">
      <c r="A6" s="4" t="inlineStr">
        <is>
          <t>Total Profit</t>
        </is>
      </c>
      <c r="B6" s="5" t="n">
        <v>1116848.464</v>
      </c>
    </row>
    <row r="7">
      <c r="A7" s="4" t="inlineStr">
        <is>
          <t>Overall Margin</t>
        </is>
      </c>
      <c r="B7" s="6" t="n">
        <v>0.09088890948702158</v>
      </c>
    </row>
    <row r="8">
      <c r="A8" s="4" t="inlineStr">
        <is>
          <t>Daily Average Sales</t>
        </is>
      </c>
      <c r="B8" s="5" t="n">
        <v>2048010.166666667</v>
      </c>
    </row>
    <row r="9">
      <c r="A9" s="4" t="inlineStr">
        <is>
          <t>Daily Average Profit</t>
        </is>
      </c>
      <c r="B9" s="5" t="n">
        <v>186141.4106666667</v>
      </c>
    </row>
    <row r="11">
      <c r="A11" s="3" t="inlineStr">
        <is>
          <t>MONTHLY TARGET PROGRESS</t>
        </is>
      </c>
    </row>
    <row r="12">
      <c r="A12" s="7" t="inlineStr">
        <is>
          <t>Category</t>
        </is>
      </c>
      <c r="B12" s="7" t="inlineStr">
        <is>
          <t>Monthly Target</t>
        </is>
      </c>
      <c r="C12" s="7" t="inlineStr">
        <is>
          <t>Week 1 Actual</t>
        </is>
      </c>
      <c r="D12" s="7" t="inlineStr">
        <is>
          <t>% Achieved</t>
        </is>
      </c>
      <c r="E12" s="7" t="inlineStr">
        <is>
          <t>Expected %</t>
        </is>
      </c>
      <c r="F12" s="7" t="inlineStr">
        <is>
          <t>Pace</t>
        </is>
      </c>
    </row>
    <row r="13">
      <c r="A13" s="8" t="inlineStr">
        <is>
          <t>GENERAL HARDWARE</t>
        </is>
      </c>
      <c r="B13" s="9" t="n">
        <v>48500000</v>
      </c>
      <c r="C13" s="9" t="n">
        <v>10447608</v>
      </c>
      <c r="D13" s="10" t="n">
        <v>0.2154145979381443</v>
      </c>
      <c r="E13" s="10" t="n">
        <v>0.25</v>
      </c>
      <c r="F13" s="8" t="inlineStr">
        <is>
          <t>Behind</t>
        </is>
      </c>
    </row>
    <row r="14">
      <c r="A14" s="8" t="inlineStr">
        <is>
          <t>PAINTS</t>
        </is>
      </c>
      <c r="B14" s="9" t="n">
        <v>7000000</v>
      </c>
      <c r="C14" s="9" t="n">
        <v>869815</v>
      </c>
      <c r="D14" s="10" t="n">
        <v>0.1242592857142857</v>
      </c>
      <c r="E14" s="10" t="n">
        <v>0.25</v>
      </c>
      <c r="F14" s="8" t="inlineStr">
        <is>
          <t>Behind</t>
        </is>
      </c>
    </row>
    <row r="15">
      <c r="A15" s="8" t="inlineStr">
        <is>
          <t>PLUMBING</t>
        </is>
      </c>
      <c r="B15" s="9" t="n">
        <v>3000000</v>
      </c>
      <c r="C15" s="9" t="n">
        <v>627548</v>
      </c>
      <c r="D15" s="10" t="n">
        <v>0.2091826666666667</v>
      </c>
      <c r="E15" s="10" t="n">
        <v>0.25</v>
      </c>
      <c r="F15" s="8" t="inlineStr">
        <is>
          <t>Behind</t>
        </is>
      </c>
    </row>
    <row r="16">
      <c r="A16" s="8" t="inlineStr">
        <is>
          <t>ELECTRICALS</t>
        </is>
      </c>
      <c r="B16" s="9" t="n">
        <v>1500000</v>
      </c>
      <c r="C16" s="9" t="n">
        <v>343090</v>
      </c>
      <c r="D16" s="10" t="n">
        <v>0.2287266666666667</v>
      </c>
      <c r="E16" s="10" t="n">
        <v>0.25</v>
      </c>
      <c r="F16" s="8" t="inlineStr">
        <is>
          <t>Behind</t>
        </is>
      </c>
    </row>
    <row r="17">
      <c r="A17" s="8" t="inlineStr">
        <is>
          <t>OVERALL</t>
        </is>
      </c>
      <c r="B17" s="9" t="n">
        <v>60000000</v>
      </c>
      <c r="C17" s="9" t="n">
        <v>12288061</v>
      </c>
      <c r="D17" s="10" t="n">
        <v>0.2048010166666667</v>
      </c>
      <c r="E17" s="10" t="n">
        <v>0.25</v>
      </c>
      <c r="F17" s="8" t="inlineStr">
        <is>
          <t>Behind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6" customWidth="1" min="4" max="4"/>
    <col width="16" customWidth="1" min="5" max="5"/>
    <col width="10" customWidth="1" min="6" max="6"/>
    <col width="10" customWidth="1" min="7" max="7"/>
    <col width="14" customWidth="1" min="8" max="8"/>
  </cols>
  <sheetData>
    <row r="1">
      <c r="A1" s="11" t="inlineStr">
        <is>
          <t>SALES REP PERFORMANCE - MARCH WEEK 1</t>
        </is>
      </c>
    </row>
    <row r="3">
      <c r="A3" s="7" t="inlineStr">
        <is>
          <t>Rank</t>
        </is>
      </c>
      <c r="B3" s="7" t="inlineStr">
        <is>
          <t>Sales Rep</t>
        </is>
      </c>
      <c r="C3" s="7" t="inlineStr">
        <is>
          <t>Role</t>
        </is>
      </c>
      <c r="D3" s="7" t="inlineStr">
        <is>
          <t>Total Sales</t>
        </is>
      </c>
      <c r="E3" s="7" t="inlineStr">
        <is>
          <t>Total Profit</t>
        </is>
      </c>
      <c r="F3" s="7" t="inlineStr">
        <is>
          <t>Margin %</t>
        </is>
      </c>
      <c r="G3" s="7" t="inlineStr">
        <is>
          <t>Total Qty</t>
        </is>
      </c>
      <c r="H3" s="7" t="inlineStr">
        <is>
          <t>Contribution %</t>
        </is>
      </c>
    </row>
    <row r="4">
      <c r="A4" s="8" t="n">
        <v>1</v>
      </c>
      <c r="B4" s="8" t="inlineStr">
        <is>
          <t>Gladys</t>
        </is>
      </c>
      <c r="C4" s="8" t="inlineStr">
        <is>
          <t>General Hardware Team</t>
        </is>
      </c>
      <c r="D4" s="9" t="n">
        <v>4753480</v>
      </c>
      <c r="E4" s="9" t="n">
        <v>275217.4936</v>
      </c>
      <c r="F4" s="10" t="n">
        <v>0.05789810698688118</v>
      </c>
      <c r="G4" s="9" t="n">
        <v>6081.75</v>
      </c>
      <c r="H4" s="10" t="n">
        <v>0.3868372723735665</v>
      </c>
    </row>
    <row r="5">
      <c r="A5" s="8" t="n">
        <v>2</v>
      </c>
      <c r="B5" s="8" t="inlineStr">
        <is>
          <t>Betha Odumo</t>
        </is>
      </c>
      <c r="C5" s="8" t="inlineStr">
        <is>
          <t>General Hardware Team</t>
        </is>
      </c>
      <c r="D5" s="9" t="n">
        <v>2645238</v>
      </c>
      <c r="E5" s="9" t="n">
        <v>204955.6788</v>
      </c>
      <c r="F5" s="10" t="n">
        <v>0.07748099747546344</v>
      </c>
      <c r="G5" s="9" t="n">
        <v>3679</v>
      </c>
      <c r="H5" s="10" t="n">
        <v>0.2152689508946936</v>
      </c>
    </row>
    <row r="6">
      <c r="A6" s="8" t="n">
        <v>3</v>
      </c>
      <c r="B6" s="8" t="inlineStr">
        <is>
          <t>Eliza</t>
        </is>
      </c>
      <c r="C6" s="8" t="inlineStr">
        <is>
          <t>General Hardware Team</t>
        </is>
      </c>
      <c r="D6" s="9" t="n">
        <v>2286730</v>
      </c>
      <c r="E6" s="9" t="n">
        <v>235347.3076</v>
      </c>
      <c r="F6" s="10" t="n">
        <v>0.1029187125721008</v>
      </c>
      <c r="G6" s="9" t="n">
        <v>3392.25</v>
      </c>
      <c r="H6" s="10" t="n">
        <v>0.1860936399973926</v>
      </c>
    </row>
    <row r="7">
      <c r="A7" s="8" t="n">
        <v>4</v>
      </c>
      <c r="B7" s="8" t="inlineStr">
        <is>
          <t>Stephen</t>
        </is>
      </c>
      <c r="C7" s="8" t="inlineStr">
        <is>
          <t>General Hardware Team</t>
        </is>
      </c>
      <c r="D7" s="9" t="n">
        <v>971120</v>
      </c>
      <c r="E7" s="9" t="n">
        <v>82594.07639999999</v>
      </c>
      <c r="F7" s="10" t="n">
        <v>0.08505032992833017</v>
      </c>
      <c r="G7" s="9" t="n">
        <v>1319</v>
      </c>
      <c r="H7" s="10" t="n">
        <v>0.07902955559872302</v>
      </c>
    </row>
    <row r="8">
      <c r="A8" s="8" t="n">
        <v>5</v>
      </c>
      <c r="B8" s="8" t="inlineStr">
        <is>
          <t>Bonface Muriu</t>
        </is>
      </c>
      <c r="C8" s="8" t="inlineStr">
        <is>
          <t>Department Head - Paints</t>
        </is>
      </c>
      <c r="D8" s="9" t="n">
        <v>707920</v>
      </c>
      <c r="E8" s="9" t="n">
        <v>102855.3208</v>
      </c>
      <c r="F8" s="10" t="n">
        <v>0.1452922940445248</v>
      </c>
      <c r="G8" s="9" t="n">
        <v>568</v>
      </c>
      <c r="H8" s="10" t="n">
        <v>0.05761039109424994</v>
      </c>
    </row>
    <row r="9">
      <c r="A9" s="8" t="n">
        <v>6</v>
      </c>
      <c r="B9" s="8" t="inlineStr">
        <is>
          <t>Lewis</t>
        </is>
      </c>
      <c r="C9" s="8" t="inlineStr">
        <is>
          <t>Department Head - Plumbing</t>
        </is>
      </c>
      <c r="D9" s="9" t="n">
        <v>477193</v>
      </c>
      <c r="E9" s="9" t="n">
        <v>122005.2388</v>
      </c>
      <c r="F9" s="10" t="n">
        <v>0.2556727336737966</v>
      </c>
      <c r="G9" s="9" t="n">
        <v>1588</v>
      </c>
      <c r="H9" s="10" t="n">
        <v>0.03883387297637927</v>
      </c>
    </row>
    <row r="10">
      <c r="A10" s="8" t="n">
        <v>7</v>
      </c>
      <c r="B10" s="8" t="inlineStr">
        <is>
          <t>Bonface Kitheka</t>
        </is>
      </c>
      <c r="C10" s="8" t="inlineStr">
        <is>
          <t>Department Head - Electricals</t>
        </is>
      </c>
      <c r="D10" s="9" t="n">
        <v>446380</v>
      </c>
      <c r="E10" s="9" t="n">
        <v>93873.348</v>
      </c>
      <c r="F10" s="10" t="n">
        <v>0.2102991800707917</v>
      </c>
      <c r="G10" s="9" t="n">
        <v>4985</v>
      </c>
      <c r="H10" s="10" t="n">
        <v>0.03632631706499504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0" customWidth="1" min="4" max="4"/>
    <col width="10" customWidth="1" min="5" max="5"/>
    <col width="14" customWidth="1" min="6" max="6"/>
  </cols>
  <sheetData>
    <row r="1">
      <c r="A1" s="12" t="inlineStr">
        <is>
          <t>GENERAL HARDWARE - MARCH WEEK 1</t>
        </is>
      </c>
    </row>
    <row r="2">
      <c r="A2" t="inlineStr">
        <is>
          <t>Department Head(s): Gladys, Betha Odumo, Eliza, Stephen</t>
        </is>
      </c>
    </row>
    <row r="3">
      <c r="A3" t="inlineStr">
        <is>
          <t>Total Sales: KES 10,447,608  |  Total Profit: KES 762,789</t>
        </is>
      </c>
    </row>
    <row r="5">
      <c r="A5" s="13" t="inlineStr">
        <is>
          <t>Rep</t>
        </is>
      </c>
      <c r="B5" s="13" t="inlineStr">
        <is>
          <t>Sales (KES)</t>
        </is>
      </c>
      <c r="C5" s="13" t="inlineStr">
        <is>
          <t>Profit (KES)</t>
        </is>
      </c>
      <c r="D5" s="13" t="inlineStr">
        <is>
          <t>Margin %</t>
        </is>
      </c>
      <c r="E5" s="13" t="inlineStr">
        <is>
          <t>Qty</t>
        </is>
      </c>
      <c r="F5" s="13" t="inlineStr">
        <is>
          <t>Share of Dept %</t>
        </is>
      </c>
    </row>
    <row r="6">
      <c r="A6" s="8" t="inlineStr">
        <is>
          <t>Gladys</t>
        </is>
      </c>
      <c r="B6" s="9" t="n">
        <v>4741090</v>
      </c>
      <c r="C6" s="9" t="n">
        <v>271574.7572</v>
      </c>
      <c r="D6" s="10" t="n">
        <v>0.05728108034228416</v>
      </c>
      <c r="E6" s="9" t="n">
        <v>6072.75</v>
      </c>
      <c r="F6" s="10" t="n">
        <v>0.4537966968132801</v>
      </c>
    </row>
    <row r="7">
      <c r="A7" s="8" t="inlineStr">
        <is>
          <t>Betha Odumo</t>
        </is>
      </c>
      <c r="B7" s="9" t="n">
        <v>2382408</v>
      </c>
      <c r="C7" s="9" t="n">
        <v>163347.488</v>
      </c>
      <c r="D7" s="10" t="n">
        <v>0.06856402765605218</v>
      </c>
      <c r="E7" s="9" t="n">
        <v>3332</v>
      </c>
      <c r="F7" s="10" t="n">
        <v>0.2280338236273796</v>
      </c>
    </row>
    <row r="8">
      <c r="A8" s="8" t="inlineStr">
        <is>
          <t>Eliza</t>
        </is>
      </c>
      <c r="B8" s="9" t="n">
        <v>2125320</v>
      </c>
      <c r="C8" s="9" t="n">
        <v>198361.682</v>
      </c>
      <c r="D8" s="10" t="n">
        <v>0.09333261908794911</v>
      </c>
      <c r="E8" s="9" t="n">
        <v>3078.25</v>
      </c>
      <c r="F8" s="10" t="n">
        <v>0.2034264685275328</v>
      </c>
    </row>
    <row r="9">
      <c r="A9" s="8" t="inlineStr">
        <is>
          <t>Stephen</t>
        </is>
      </c>
      <c r="B9" s="9" t="n">
        <v>959990</v>
      </c>
      <c r="C9" s="9" t="n">
        <v>79803.3484</v>
      </c>
      <c r="D9" s="10" t="n">
        <v>0.08312935384743592</v>
      </c>
      <c r="E9" s="9" t="n">
        <v>1294</v>
      </c>
      <c r="F9" s="10" t="n">
        <v>0.09188610445568018</v>
      </c>
    </row>
    <row r="10">
      <c r="A10" s="8" t="inlineStr">
        <is>
          <t>Bonface Kitheka</t>
        </is>
      </c>
      <c r="B10" s="9" t="n">
        <v>96560</v>
      </c>
      <c r="C10" s="9" t="n">
        <v>20892.4236</v>
      </c>
      <c r="D10" s="10" t="n">
        <v>0.216367270091135</v>
      </c>
      <c r="E10" s="9" t="n">
        <v>541</v>
      </c>
      <c r="F10" s="10" t="n">
        <v>0.009242306947197866</v>
      </c>
    </row>
    <row r="11">
      <c r="A11" s="8" t="inlineStr">
        <is>
          <t>Bonface Muriu</t>
        </is>
      </c>
      <c r="B11" s="9" t="n">
        <v>76695</v>
      </c>
      <c r="C11" s="9" t="n">
        <v>11638.2568</v>
      </c>
      <c r="D11" s="10" t="n">
        <v>0.1517472690527414</v>
      </c>
      <c r="E11" s="9" t="n">
        <v>74</v>
      </c>
      <c r="F11" s="10" t="n">
        <v>0.007340914781641884</v>
      </c>
    </row>
    <row r="12">
      <c r="A12" s="8" t="inlineStr">
        <is>
          <t>Lewis</t>
        </is>
      </c>
      <c r="B12" s="9" t="n">
        <v>65545</v>
      </c>
      <c r="C12" s="9" t="n">
        <v>17170.6448</v>
      </c>
      <c r="D12" s="10" t="n">
        <v>0.2619672713403005</v>
      </c>
      <c r="E12" s="9" t="n">
        <v>167</v>
      </c>
      <c r="F12" s="10" t="n">
        <v>0.006273684847287533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0" customWidth="1" min="4" max="4"/>
    <col width="10" customWidth="1" min="5" max="5"/>
    <col width="14" customWidth="1" min="6" max="6"/>
  </cols>
  <sheetData>
    <row r="1">
      <c r="A1" s="14" t="inlineStr">
        <is>
          <t>PAINTS - MARCH WEEK 1</t>
        </is>
      </c>
    </row>
    <row r="2">
      <c r="A2" t="inlineStr">
        <is>
          <t>Department Head(s): Bonface Muriu</t>
        </is>
      </c>
    </row>
    <row r="3">
      <c r="A3" t="inlineStr">
        <is>
          <t>Total Sales: KES 869,815  |  Total Profit: KES 147,212</t>
        </is>
      </c>
    </row>
    <row r="5">
      <c r="A5" s="15" t="inlineStr">
        <is>
          <t>Rep</t>
        </is>
      </c>
      <c r="B5" s="15" t="inlineStr">
        <is>
          <t>Sales (KES)</t>
        </is>
      </c>
      <c r="C5" s="15" t="inlineStr">
        <is>
          <t>Profit (KES)</t>
        </is>
      </c>
      <c r="D5" s="15" t="inlineStr">
        <is>
          <t>Margin %</t>
        </is>
      </c>
      <c r="E5" s="15" t="inlineStr">
        <is>
          <t>Qty</t>
        </is>
      </c>
      <c r="F5" s="15" t="inlineStr">
        <is>
          <t>Share of Dept %</t>
        </is>
      </c>
    </row>
    <row r="6">
      <c r="A6" s="8" t="inlineStr">
        <is>
          <t>Bonface Muriu</t>
        </is>
      </c>
      <c r="B6" s="9" t="n">
        <v>549715</v>
      </c>
      <c r="C6" s="9" t="n">
        <v>81145.3756</v>
      </c>
      <c r="D6" s="10" t="n">
        <v>0.1476135371965473</v>
      </c>
      <c r="E6" s="9" t="n">
        <v>473</v>
      </c>
      <c r="F6" s="10" t="n">
        <v>0.6319907106683605</v>
      </c>
    </row>
    <row r="7">
      <c r="A7" s="8" t="inlineStr">
        <is>
          <t>Eliza</t>
        </is>
      </c>
      <c r="B7" s="9" t="n">
        <v>134900</v>
      </c>
      <c r="C7" s="9" t="n">
        <v>28647.6268</v>
      </c>
      <c r="D7" s="10" t="n">
        <v>0.2123619481097109</v>
      </c>
      <c r="E7" s="9" t="n">
        <v>240</v>
      </c>
      <c r="F7" s="10" t="n">
        <v>0.1550904502681605</v>
      </c>
    </row>
    <row r="8">
      <c r="A8" s="8" t="inlineStr">
        <is>
          <t>Betha Odumo</t>
        </is>
      </c>
      <c r="B8" s="9" t="n">
        <v>112650</v>
      </c>
      <c r="C8" s="9" t="n">
        <v>20189.9276</v>
      </c>
      <c r="D8" s="10" t="n">
        <v>0.1792270537061695</v>
      </c>
      <c r="E8" s="9" t="n">
        <v>239</v>
      </c>
      <c r="F8" s="10" t="n">
        <v>0.1295102981668516</v>
      </c>
    </row>
    <row r="9">
      <c r="A9" s="8" t="inlineStr">
        <is>
          <t>Lewis</t>
        </is>
      </c>
      <c r="B9" s="9" t="n">
        <v>46510</v>
      </c>
      <c r="C9" s="9" t="n">
        <v>11413.124</v>
      </c>
      <c r="D9" s="10" t="n">
        <v>0.2453907546764136</v>
      </c>
      <c r="E9" s="9" t="n">
        <v>130</v>
      </c>
      <c r="F9" s="10" t="n">
        <v>0.05347114041491582</v>
      </c>
    </row>
    <row r="10">
      <c r="A10" s="8" t="inlineStr">
        <is>
          <t>Bonface Kitheka</t>
        </is>
      </c>
      <c r="B10" s="9" t="n">
        <v>15800</v>
      </c>
      <c r="C10" s="9" t="n">
        <v>3522.6416</v>
      </c>
      <c r="D10" s="10" t="n">
        <v>0.222952</v>
      </c>
      <c r="E10" s="9" t="n">
        <v>35</v>
      </c>
      <c r="F10" s="10" t="n">
        <v>0.01816478216632272</v>
      </c>
    </row>
    <row r="11">
      <c r="A11" s="8" t="inlineStr">
        <is>
          <t>Stephen</t>
        </is>
      </c>
      <c r="B11" s="9" t="n">
        <v>6250</v>
      </c>
      <c r="C11" s="9" t="n">
        <v>1450.116</v>
      </c>
      <c r="D11" s="10" t="n">
        <v>0.23201856</v>
      </c>
      <c r="E11" s="9" t="n">
        <v>21</v>
      </c>
      <c r="F11" s="10" t="n">
        <v>0.007185435983513735</v>
      </c>
    </row>
    <row r="12">
      <c r="A12" s="8" t="inlineStr">
        <is>
          <t>Gladys</t>
        </is>
      </c>
      <c r="B12" s="9" t="n">
        <v>3990</v>
      </c>
      <c r="C12" s="9" t="n">
        <v>842.7284</v>
      </c>
      <c r="D12" s="10" t="n">
        <v>0.2112101253132832</v>
      </c>
      <c r="E12" s="9" t="n">
        <v>7</v>
      </c>
      <c r="F12" s="10" t="n">
        <v>0.004587182331875169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0" customWidth="1" min="4" max="4"/>
    <col width="10" customWidth="1" min="5" max="5"/>
    <col width="14" customWidth="1" min="6" max="6"/>
  </cols>
  <sheetData>
    <row r="1">
      <c r="A1" s="16" t="inlineStr">
        <is>
          <t>PLUMBING - MARCH WEEK 1</t>
        </is>
      </c>
    </row>
    <row r="2">
      <c r="A2" t="inlineStr">
        <is>
          <t>Department Head(s): Lewis</t>
        </is>
      </c>
    </row>
    <row r="3">
      <c r="A3" t="inlineStr">
        <is>
          <t>Total Sales: KES 627,548  |  Total Profit: KES 134,365</t>
        </is>
      </c>
    </row>
    <row r="5">
      <c r="A5" s="17" t="inlineStr">
        <is>
          <t>Rep</t>
        </is>
      </c>
      <c r="B5" s="17" t="inlineStr">
        <is>
          <t>Sales (KES)</t>
        </is>
      </c>
      <c r="C5" s="17" t="inlineStr">
        <is>
          <t>Profit (KES)</t>
        </is>
      </c>
      <c r="D5" s="17" t="inlineStr">
        <is>
          <t>Margin %</t>
        </is>
      </c>
      <c r="E5" s="17" t="inlineStr">
        <is>
          <t>Qty</t>
        </is>
      </c>
      <c r="F5" s="17" t="inlineStr">
        <is>
          <t>Share of Dept %</t>
        </is>
      </c>
    </row>
    <row r="6">
      <c r="A6" s="8" t="inlineStr">
        <is>
          <t>Lewis</t>
        </is>
      </c>
      <c r="B6" s="9" t="n">
        <v>361968</v>
      </c>
      <c r="C6" s="9" t="n">
        <v>92837.42159999999</v>
      </c>
      <c r="D6" s="10" t="n">
        <v>0.2564796379790478</v>
      </c>
      <c r="E6" s="9" t="n">
        <v>1286</v>
      </c>
      <c r="F6" s="10" t="n">
        <v>0.5767973127155214</v>
      </c>
    </row>
    <row r="7">
      <c r="A7" s="8" t="inlineStr">
        <is>
          <t>Betha Odumo</t>
        </is>
      </c>
      <c r="B7" s="9" t="n">
        <v>140760</v>
      </c>
      <c r="C7" s="9" t="n">
        <v>17558.6648</v>
      </c>
      <c r="D7" s="10" t="n">
        <v>0.1247418641659562</v>
      </c>
      <c r="E7" s="9" t="n">
        <v>51</v>
      </c>
      <c r="F7" s="10" t="n">
        <v>0.2243015673701454</v>
      </c>
    </row>
    <row r="8">
      <c r="A8" s="8" t="inlineStr">
        <is>
          <t>Bonface Muriu</t>
        </is>
      </c>
      <c r="B8" s="9" t="n">
        <v>81060</v>
      </c>
      <c r="C8" s="9" t="n">
        <v>9892.642399999999</v>
      </c>
      <c r="D8" s="10" t="n">
        <v>0.1220409869232667</v>
      </c>
      <c r="E8" s="9" t="n">
        <v>18</v>
      </c>
      <c r="F8" s="10" t="n">
        <v>0.1291694021811877</v>
      </c>
    </row>
    <row r="9">
      <c r="A9" s="8" t="inlineStr">
        <is>
          <t>Eliza</t>
        </is>
      </c>
      <c r="B9" s="9" t="n">
        <v>26510</v>
      </c>
      <c r="C9" s="9" t="n">
        <v>8337.998799999999</v>
      </c>
      <c r="D9" s="10" t="n">
        <v>0.3145227763108261</v>
      </c>
      <c r="E9" s="9" t="n">
        <v>74</v>
      </c>
      <c r="F9" s="10" t="n">
        <v>0.04224378055543162</v>
      </c>
    </row>
    <row r="10">
      <c r="A10" s="8" t="inlineStr">
        <is>
          <t>Gladys</t>
        </is>
      </c>
      <c r="B10" s="9" t="n">
        <v>8400</v>
      </c>
      <c r="C10" s="9" t="n">
        <v>2800.008</v>
      </c>
      <c r="D10" s="10" t="n">
        <v>0.3333342857142857</v>
      </c>
      <c r="E10" s="9" t="n">
        <v>2</v>
      </c>
      <c r="F10" s="10" t="n">
        <v>0.01338543027784329</v>
      </c>
    </row>
    <row r="11">
      <c r="A11" s="8" t="inlineStr">
        <is>
          <t>Stephen</t>
        </is>
      </c>
      <c r="B11" s="9" t="n">
        <v>4880</v>
      </c>
      <c r="C11" s="9" t="n">
        <v>1340.612</v>
      </c>
      <c r="D11" s="10" t="n">
        <v>0.2747155737704918</v>
      </c>
      <c r="E11" s="9" t="n">
        <v>4</v>
      </c>
      <c r="F11" s="10" t="n">
        <v>0.007776297589985148</v>
      </c>
    </row>
    <row r="12">
      <c r="A12" s="8" t="inlineStr">
        <is>
          <t>Bonface Kitheka</t>
        </is>
      </c>
      <c r="B12" s="9" t="n">
        <v>3970</v>
      </c>
      <c r="C12" s="9" t="n">
        <v>1597.262</v>
      </c>
      <c r="D12" s="10" t="n">
        <v>0.4023329974811083</v>
      </c>
      <c r="E12" s="9" t="n">
        <v>11</v>
      </c>
      <c r="F12" s="10" t="n">
        <v>0.006326209309885459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0" customWidth="1" min="4" max="4"/>
    <col width="10" customWidth="1" min="5" max="5"/>
    <col width="14" customWidth="1" min="6" max="6"/>
  </cols>
  <sheetData>
    <row r="1">
      <c r="A1" s="18" t="inlineStr">
        <is>
          <t>ELECTRICALS - MARCH WEEK 1</t>
        </is>
      </c>
    </row>
    <row r="2">
      <c r="A2" t="inlineStr">
        <is>
          <t>Department Head(s): Bonface Kitheka</t>
        </is>
      </c>
    </row>
    <row r="3">
      <c r="A3" t="inlineStr">
        <is>
          <t>Total Sales: KES 343,090  |  Total Profit: KES 72,484</t>
        </is>
      </c>
    </row>
    <row r="5">
      <c r="A5" s="19" t="inlineStr">
        <is>
          <t>Rep</t>
        </is>
      </c>
      <c r="B5" s="19" t="inlineStr">
        <is>
          <t>Sales (KES)</t>
        </is>
      </c>
      <c r="C5" s="19" t="inlineStr">
        <is>
          <t>Profit (KES)</t>
        </is>
      </c>
      <c r="D5" s="19" t="inlineStr">
        <is>
          <t>Margin %</t>
        </is>
      </c>
      <c r="E5" s="19" t="inlineStr">
        <is>
          <t>Qty</t>
        </is>
      </c>
      <c r="F5" s="19" t="inlineStr">
        <is>
          <t>Share of Dept %</t>
        </is>
      </c>
    </row>
    <row r="6">
      <c r="A6" s="8" t="inlineStr">
        <is>
          <t>Bonface Kitheka</t>
        </is>
      </c>
      <c r="B6" s="9" t="n">
        <v>330050</v>
      </c>
      <c r="C6" s="9" t="n">
        <v>67861.0208</v>
      </c>
      <c r="D6" s="10" t="n">
        <v>0.2056083041963339</v>
      </c>
      <c r="E6" s="9" t="n">
        <v>4398</v>
      </c>
      <c r="F6" s="10" t="n">
        <v>0.9619924801072606</v>
      </c>
    </row>
    <row r="7">
      <c r="A7" s="8" t="inlineStr">
        <is>
          <t>Betha Odumo</t>
        </is>
      </c>
      <c r="B7" s="9" t="n">
        <v>9420</v>
      </c>
      <c r="C7" s="9" t="n">
        <v>3859.598399999999</v>
      </c>
      <c r="D7" s="10" t="n">
        <v>0.4097238216560509</v>
      </c>
      <c r="E7" s="9" t="n">
        <v>57</v>
      </c>
      <c r="F7" s="10" t="n">
        <v>0.02745635256055262</v>
      </c>
    </row>
    <row r="8">
      <c r="A8" s="8" t="inlineStr">
        <is>
          <t>Lewis</t>
        </is>
      </c>
      <c r="B8" s="9" t="n">
        <v>3170</v>
      </c>
      <c r="C8" s="9" t="n">
        <v>584.0484</v>
      </c>
      <c r="D8" s="10" t="n">
        <v>0.1842423974763407</v>
      </c>
      <c r="E8" s="9" t="n">
        <v>5</v>
      </c>
      <c r="F8" s="10" t="n">
        <v>0.009239558133434377</v>
      </c>
    </row>
    <row r="9">
      <c r="A9" s="8" t="inlineStr">
        <is>
          <t>Bonface Muriu</t>
        </is>
      </c>
      <c r="B9" s="9" t="n">
        <v>450</v>
      </c>
      <c r="C9" s="9" t="n">
        <v>179.046</v>
      </c>
      <c r="D9" s="10" t="n">
        <v>0.39788</v>
      </c>
      <c r="E9" s="9" t="n">
        <v>3</v>
      </c>
      <c r="F9" s="10" t="n">
        <v>0.001311609198752514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Gladys - General Hardware Team</t>
        </is>
      </c>
    </row>
    <row r="2">
      <c r="A2" s="20" t="inlineStr">
        <is>
          <t>TOP SELLER  TOP PROFIT</t>
        </is>
      </c>
    </row>
    <row r="4">
      <c r="A4" s="7" t="inlineStr">
        <is>
          <t>Total Sales</t>
        </is>
      </c>
      <c r="B4" s="7" t="inlineStr">
        <is>
          <t>Total Profit</t>
        </is>
      </c>
      <c r="C4" s="7" t="inlineStr">
        <is>
          <t>Margin %</t>
        </is>
      </c>
      <c r="D4" s="7" t="inlineStr">
        <is>
          <t>Items Sold</t>
        </is>
      </c>
      <c r="E4" s="7" t="inlineStr">
        <is>
          <t>Sales Rank</t>
        </is>
      </c>
    </row>
    <row r="5">
      <c r="A5" s="9" t="n">
        <v>4753480</v>
      </c>
      <c r="B5" s="9" t="n">
        <v>275217.4936</v>
      </c>
      <c r="C5" s="10" t="n">
        <v>0.05789810698688118</v>
      </c>
      <c r="D5" s="9" t="n">
        <v>6081.75</v>
      </c>
      <c r="E5" s="8" t="n">
        <v>1</v>
      </c>
    </row>
    <row r="7">
      <c r="A7" s="13" t="inlineStr">
        <is>
          <t>Category</t>
        </is>
      </c>
      <c r="B7" s="13" t="inlineStr">
        <is>
          <t>Sales (KES)</t>
        </is>
      </c>
      <c r="C7" s="13" t="inlineStr">
        <is>
          <t>Profit (KES)</t>
        </is>
      </c>
      <c r="D7" s="13" t="inlineStr">
        <is>
          <t>Margin %</t>
        </is>
      </c>
      <c r="E7" s="13" t="inlineStr">
        <is>
          <t>Qty</t>
        </is>
      </c>
    </row>
    <row r="8">
      <c r="A8" s="8" t="inlineStr">
        <is>
          <t>GENERAL HARDWARE</t>
        </is>
      </c>
      <c r="B8" s="9" t="n">
        <v>4741090</v>
      </c>
      <c r="C8" s="9" t="n">
        <v>271574.7572</v>
      </c>
      <c r="D8" s="10" t="n">
        <v>0.05728108034228416</v>
      </c>
      <c r="E8" s="9" t="n">
        <v>6072.75</v>
      </c>
    </row>
    <row r="9">
      <c r="A9" s="8" t="inlineStr">
        <is>
          <t>PAINTS</t>
        </is>
      </c>
      <c r="B9" s="9" t="n">
        <v>3990</v>
      </c>
      <c r="C9" s="9" t="n">
        <v>842.7284</v>
      </c>
      <c r="D9" s="10" t="n">
        <v>0.2112101253132832</v>
      </c>
      <c r="E9" s="9" t="n">
        <v>7</v>
      </c>
    </row>
    <row r="10">
      <c r="A10" s="8" t="inlineStr">
        <is>
          <t>PLUMBING</t>
        </is>
      </c>
      <c r="B10" s="9" t="n">
        <v>8400</v>
      </c>
      <c r="C10" s="9" t="n">
        <v>2800.008</v>
      </c>
      <c r="D10" s="10" t="n">
        <v>0.3333342857142857</v>
      </c>
      <c r="E10" s="9" t="n">
        <v>2</v>
      </c>
    </row>
    <row r="12">
      <c r="A12" s="20" t="inlineStr">
        <is>
          <t>Performance Notes</t>
        </is>
      </c>
    </row>
    <row r="13">
      <c r="A13" s="21" t="inlineStr">
        <is>
          <t xml:space="preserve">  Outstanding! Sales 171% above team average</t>
        </is>
      </c>
    </row>
    <row r="14">
      <c r="A14" s="22" t="inlineStr">
        <is>
          <t xml:space="preserve">  Margin at 5.8% below team average of 13.4%</t>
        </is>
      </c>
    </row>
    <row r="15">
      <c r="A15" s="23" t="inlineStr">
        <is>
          <t xml:space="preserve">  General Hardware: 45.4% of dept, 5.7% margin</t>
        </is>
      </c>
    </row>
    <row r="16">
      <c r="A16" s="23" t="inlineStr">
        <is>
          <t xml:space="preserve">  Consider expanding into ELECTRICALS</t>
        </is>
      </c>
    </row>
    <row r="17">
      <c r="A17" s="23" t="inlineStr">
        <is>
          <t xml:space="preserve">  Best margin in PLUMBING: 33.3%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Betha Odumo - General Hardware Team</t>
        </is>
      </c>
    </row>
    <row r="3">
      <c r="A3" s="7" t="inlineStr">
        <is>
          <t>Total Sales</t>
        </is>
      </c>
      <c r="B3" s="7" t="inlineStr">
        <is>
          <t>Total Profit</t>
        </is>
      </c>
      <c r="C3" s="7" t="inlineStr">
        <is>
          <t>Margin %</t>
        </is>
      </c>
      <c r="D3" s="7" t="inlineStr">
        <is>
          <t>Items Sold</t>
        </is>
      </c>
      <c r="E3" s="7" t="inlineStr">
        <is>
          <t>Sales Rank</t>
        </is>
      </c>
    </row>
    <row r="4">
      <c r="A4" s="9" t="n">
        <v>2645238</v>
      </c>
      <c r="B4" s="9" t="n">
        <v>204955.6788</v>
      </c>
      <c r="C4" s="10" t="n">
        <v>0.07748099747546344</v>
      </c>
      <c r="D4" s="9" t="n">
        <v>3679</v>
      </c>
      <c r="E4" s="8" t="n">
        <v>2</v>
      </c>
    </row>
    <row r="6">
      <c r="A6" s="13" t="inlineStr">
        <is>
          <t>Category</t>
        </is>
      </c>
      <c r="B6" s="13" t="inlineStr">
        <is>
          <t>Sales (KES)</t>
        </is>
      </c>
      <c r="C6" s="13" t="inlineStr">
        <is>
          <t>Profit (KES)</t>
        </is>
      </c>
      <c r="D6" s="13" t="inlineStr">
        <is>
          <t>Margin %</t>
        </is>
      </c>
      <c r="E6" s="13" t="inlineStr">
        <is>
          <t>Qty</t>
        </is>
      </c>
    </row>
    <row r="7">
      <c r="A7" s="8" t="inlineStr">
        <is>
          <t>GENERAL HARDWARE</t>
        </is>
      </c>
      <c r="B7" s="9" t="n">
        <v>2382408</v>
      </c>
      <c r="C7" s="9" t="n">
        <v>163347.488</v>
      </c>
      <c r="D7" s="10" t="n">
        <v>0.06856402765605218</v>
      </c>
      <c r="E7" s="9" t="n">
        <v>3332</v>
      </c>
    </row>
    <row r="8">
      <c r="A8" s="8" t="inlineStr">
        <is>
          <t>PAINTS</t>
        </is>
      </c>
      <c r="B8" s="9" t="n">
        <v>112650</v>
      </c>
      <c r="C8" s="9" t="n">
        <v>20189.9276</v>
      </c>
      <c r="D8" s="10" t="n">
        <v>0.1792270537061695</v>
      </c>
      <c r="E8" s="9" t="n">
        <v>239</v>
      </c>
    </row>
    <row r="9">
      <c r="A9" s="8" t="inlineStr">
        <is>
          <t>PLUMBING</t>
        </is>
      </c>
      <c r="B9" s="9" t="n">
        <v>140760</v>
      </c>
      <c r="C9" s="9" t="n">
        <v>17558.6648</v>
      </c>
      <c r="D9" s="10" t="n">
        <v>0.1247418641659562</v>
      </c>
      <c r="E9" s="9" t="n">
        <v>51</v>
      </c>
    </row>
    <row r="10">
      <c r="A10" s="8" t="inlineStr">
        <is>
          <t>ELECTRICALS</t>
        </is>
      </c>
      <c r="B10" s="9" t="n">
        <v>9420</v>
      </c>
      <c r="C10" s="9" t="n">
        <v>3859.598399999999</v>
      </c>
      <c r="D10" s="10" t="n">
        <v>0.4097238216560509</v>
      </c>
      <c r="E10" s="9" t="n">
        <v>57</v>
      </c>
    </row>
    <row r="12">
      <c r="A12" s="20" t="inlineStr">
        <is>
          <t>Performance Notes</t>
        </is>
      </c>
    </row>
    <row r="13">
      <c r="A13" s="21" t="inlineStr">
        <is>
          <t xml:space="preserve">  Outstanding! Sales 51% above team average</t>
        </is>
      </c>
    </row>
    <row r="14">
      <c r="A14" s="22" t="inlineStr">
        <is>
          <t xml:space="preserve">  Margin at 7.7% below team average of 13.4%</t>
        </is>
      </c>
    </row>
    <row r="15">
      <c r="A15" s="23" t="inlineStr">
        <is>
          <t xml:space="preserve">  General Hardware: 22.8% of dept, 6.9% margin</t>
        </is>
      </c>
    </row>
    <row r="16">
      <c r="A16" s="21" t="inlineStr">
        <is>
          <t xml:space="preserve">  Selling across all 4 categories - excellent product range</t>
        </is>
      </c>
    </row>
    <row r="17">
      <c r="A17" s="23" t="inlineStr">
        <is>
          <t xml:space="preserve">  Best margin in ELECTRICALS: 41.0%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Eliza - General Hardware Team</t>
        </is>
      </c>
    </row>
    <row r="3">
      <c r="A3" s="7" t="inlineStr">
        <is>
          <t>Total Sales</t>
        </is>
      </c>
      <c r="B3" s="7" t="inlineStr">
        <is>
          <t>Total Profit</t>
        </is>
      </c>
      <c r="C3" s="7" t="inlineStr">
        <is>
          <t>Margin %</t>
        </is>
      </c>
      <c r="D3" s="7" t="inlineStr">
        <is>
          <t>Items Sold</t>
        </is>
      </c>
      <c r="E3" s="7" t="inlineStr">
        <is>
          <t>Sales Rank</t>
        </is>
      </c>
    </row>
    <row r="4">
      <c r="A4" s="9" t="n">
        <v>2286730</v>
      </c>
      <c r="B4" s="9" t="n">
        <v>235347.3076</v>
      </c>
      <c r="C4" s="10" t="n">
        <v>0.1029187125721008</v>
      </c>
      <c r="D4" s="9" t="n">
        <v>3392.25</v>
      </c>
      <c r="E4" s="8" t="n">
        <v>3</v>
      </c>
    </row>
    <row r="6">
      <c r="A6" s="13" t="inlineStr">
        <is>
          <t>Category</t>
        </is>
      </c>
      <c r="B6" s="13" t="inlineStr">
        <is>
          <t>Sales (KES)</t>
        </is>
      </c>
      <c r="C6" s="13" t="inlineStr">
        <is>
          <t>Profit (KES)</t>
        </is>
      </c>
      <c r="D6" s="13" t="inlineStr">
        <is>
          <t>Margin %</t>
        </is>
      </c>
      <c r="E6" s="13" t="inlineStr">
        <is>
          <t>Qty</t>
        </is>
      </c>
    </row>
    <row r="7">
      <c r="A7" s="8" t="inlineStr">
        <is>
          <t>GENERAL HARDWARE</t>
        </is>
      </c>
      <c r="B7" s="9" t="n">
        <v>2125320</v>
      </c>
      <c r="C7" s="9" t="n">
        <v>198361.682</v>
      </c>
      <c r="D7" s="10" t="n">
        <v>0.09333261908794911</v>
      </c>
      <c r="E7" s="9" t="n">
        <v>3078.25</v>
      </c>
    </row>
    <row r="8">
      <c r="A8" s="8" t="inlineStr">
        <is>
          <t>PAINTS</t>
        </is>
      </c>
      <c r="B8" s="9" t="n">
        <v>134900</v>
      </c>
      <c r="C8" s="9" t="n">
        <v>28647.6268</v>
      </c>
      <c r="D8" s="10" t="n">
        <v>0.2123619481097109</v>
      </c>
      <c r="E8" s="9" t="n">
        <v>240</v>
      </c>
    </row>
    <row r="9">
      <c r="A9" s="8" t="inlineStr">
        <is>
          <t>PLUMBING</t>
        </is>
      </c>
      <c r="B9" s="9" t="n">
        <v>26510</v>
      </c>
      <c r="C9" s="9" t="n">
        <v>8337.998799999999</v>
      </c>
      <c r="D9" s="10" t="n">
        <v>0.3145227763108261</v>
      </c>
      <c r="E9" s="9" t="n">
        <v>74</v>
      </c>
    </row>
    <row r="11">
      <c r="A11" s="20" t="inlineStr">
        <is>
          <t>Performance Notes</t>
        </is>
      </c>
    </row>
    <row r="12">
      <c r="A12" s="23" t="inlineStr">
        <is>
          <t xml:space="preserve">  Sales 30% above team average - solid performance</t>
        </is>
      </c>
    </row>
    <row r="13">
      <c r="A13" s="22" t="inlineStr">
        <is>
          <t xml:space="preserve">  Margin at 10.3% below team average of 13.4%</t>
        </is>
      </c>
    </row>
    <row r="14">
      <c r="A14" s="23" t="inlineStr">
        <is>
          <t xml:space="preserve">  General Hardware: 20.3% of dept, 9.3% margin</t>
        </is>
      </c>
    </row>
    <row r="15">
      <c r="A15" s="23" t="inlineStr">
        <is>
          <t xml:space="preserve">  Consider expanding into ELECTRICALS</t>
        </is>
      </c>
    </row>
    <row r="16">
      <c r="A16" s="23" t="inlineStr">
        <is>
          <t xml:space="preserve">  Best margin in PLUMBING: 31.5%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Stephen - General Hardware Team</t>
        </is>
      </c>
    </row>
    <row r="3">
      <c r="A3" s="7" t="inlineStr">
        <is>
          <t>Total Sales</t>
        </is>
      </c>
      <c r="B3" s="7" t="inlineStr">
        <is>
          <t>Total Profit</t>
        </is>
      </c>
      <c r="C3" s="7" t="inlineStr">
        <is>
          <t>Margin %</t>
        </is>
      </c>
      <c r="D3" s="7" t="inlineStr">
        <is>
          <t>Items Sold</t>
        </is>
      </c>
      <c r="E3" s="7" t="inlineStr">
        <is>
          <t>Sales Rank</t>
        </is>
      </c>
    </row>
    <row r="4">
      <c r="A4" s="9" t="n">
        <v>971120</v>
      </c>
      <c r="B4" s="9" t="n">
        <v>82594.07639999999</v>
      </c>
      <c r="C4" s="10" t="n">
        <v>0.08505032992833017</v>
      </c>
      <c r="D4" s="9" t="n">
        <v>1319</v>
      </c>
      <c r="E4" s="8" t="n">
        <v>4</v>
      </c>
    </row>
    <row r="6">
      <c r="A6" s="13" t="inlineStr">
        <is>
          <t>Category</t>
        </is>
      </c>
      <c r="B6" s="13" t="inlineStr">
        <is>
          <t>Sales (KES)</t>
        </is>
      </c>
      <c r="C6" s="13" t="inlineStr">
        <is>
          <t>Profit (KES)</t>
        </is>
      </c>
      <c r="D6" s="13" t="inlineStr">
        <is>
          <t>Margin %</t>
        </is>
      </c>
      <c r="E6" s="13" t="inlineStr">
        <is>
          <t>Qty</t>
        </is>
      </c>
    </row>
    <row r="7">
      <c r="A7" s="8" t="inlineStr">
        <is>
          <t>GENERAL HARDWARE</t>
        </is>
      </c>
      <c r="B7" s="9" t="n">
        <v>959990</v>
      </c>
      <c r="C7" s="9" t="n">
        <v>79803.3484</v>
      </c>
      <c r="D7" s="10" t="n">
        <v>0.08312935384743592</v>
      </c>
      <c r="E7" s="9" t="n">
        <v>1294</v>
      </c>
    </row>
    <row r="8">
      <c r="A8" s="8" t="inlineStr">
        <is>
          <t>PAINTS</t>
        </is>
      </c>
      <c r="B8" s="9" t="n">
        <v>6250</v>
      </c>
      <c r="C8" s="9" t="n">
        <v>1450.116</v>
      </c>
      <c r="D8" s="10" t="n">
        <v>0.23201856</v>
      </c>
      <c r="E8" s="9" t="n">
        <v>21</v>
      </c>
    </row>
    <row r="9">
      <c r="A9" s="8" t="inlineStr">
        <is>
          <t>PLUMBING</t>
        </is>
      </c>
      <c r="B9" s="9" t="n">
        <v>4880</v>
      </c>
      <c r="C9" s="9" t="n">
        <v>1340.612</v>
      </c>
      <c r="D9" s="10" t="n">
        <v>0.2747155737704918</v>
      </c>
      <c r="E9" s="9" t="n">
        <v>4</v>
      </c>
    </row>
    <row r="11">
      <c r="A11" s="20" t="inlineStr">
        <is>
          <t>Performance Notes</t>
        </is>
      </c>
    </row>
    <row r="12">
      <c r="A12" s="22" t="inlineStr">
        <is>
          <t xml:space="preserve">  Sales 45% below team average - needs improvement</t>
        </is>
      </c>
    </row>
    <row r="13">
      <c r="A13" s="22" t="inlineStr">
        <is>
          <t xml:space="preserve">  Margin at 8.5% below team average of 13.4%</t>
        </is>
      </c>
    </row>
    <row r="14">
      <c r="A14" s="23" t="inlineStr">
        <is>
          <t xml:space="preserve">  General Hardware: 9.2% of dept, 8.3% margin</t>
        </is>
      </c>
    </row>
    <row r="15">
      <c r="A15" s="23" t="inlineStr">
        <is>
          <t xml:space="preserve">  Consider expanding into ELECTRICALS</t>
        </is>
      </c>
    </row>
    <row r="16">
      <c r="A16" s="23" t="inlineStr">
        <is>
          <t xml:space="preserve">  Best margin in PLUMBING: 27.5%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Bonface Muriu - Department Head - Paints</t>
        </is>
      </c>
    </row>
    <row r="3">
      <c r="A3" s="7" t="inlineStr">
        <is>
          <t>Total Sales</t>
        </is>
      </c>
      <c r="B3" s="7" t="inlineStr">
        <is>
          <t>Total Profit</t>
        </is>
      </c>
      <c r="C3" s="7" t="inlineStr">
        <is>
          <t>Margin %</t>
        </is>
      </c>
      <c r="D3" s="7" t="inlineStr">
        <is>
          <t>Items Sold</t>
        </is>
      </c>
      <c r="E3" s="7" t="inlineStr">
        <is>
          <t>Sales Rank</t>
        </is>
      </c>
    </row>
    <row r="4">
      <c r="A4" s="9" t="n">
        <v>707920</v>
      </c>
      <c r="B4" s="9" t="n">
        <v>102855.3208</v>
      </c>
      <c r="C4" s="10" t="n">
        <v>0.1452922940445248</v>
      </c>
      <c r="D4" s="9" t="n">
        <v>568</v>
      </c>
      <c r="E4" s="8" t="n">
        <v>5</v>
      </c>
    </row>
    <row r="6">
      <c r="A6" s="13" t="inlineStr">
        <is>
          <t>Category</t>
        </is>
      </c>
      <c r="B6" s="13" t="inlineStr">
        <is>
          <t>Sales (KES)</t>
        </is>
      </c>
      <c r="C6" s="13" t="inlineStr">
        <is>
          <t>Profit (KES)</t>
        </is>
      </c>
      <c r="D6" s="13" t="inlineStr">
        <is>
          <t>Margin %</t>
        </is>
      </c>
      <c r="E6" s="13" t="inlineStr">
        <is>
          <t>Qty</t>
        </is>
      </c>
    </row>
    <row r="7">
      <c r="A7" s="8" t="inlineStr">
        <is>
          <t>GENERAL HARDWARE</t>
        </is>
      </c>
      <c r="B7" s="9" t="n">
        <v>76695</v>
      </c>
      <c r="C7" s="9" t="n">
        <v>11638.2568</v>
      </c>
      <c r="D7" s="10" t="n">
        <v>0.1517472690527414</v>
      </c>
      <c r="E7" s="9" t="n">
        <v>74</v>
      </c>
    </row>
    <row r="8">
      <c r="A8" s="8" t="inlineStr">
        <is>
          <t>PAINTS</t>
        </is>
      </c>
      <c r="B8" s="9" t="n">
        <v>549715</v>
      </c>
      <c r="C8" s="9" t="n">
        <v>81145.3756</v>
      </c>
      <c r="D8" s="10" t="n">
        <v>0.1476135371965473</v>
      </c>
      <c r="E8" s="9" t="n">
        <v>473</v>
      </c>
    </row>
    <row r="9">
      <c r="A9" s="8" t="inlineStr">
        <is>
          <t>PLUMBING</t>
        </is>
      </c>
      <c r="B9" s="9" t="n">
        <v>81060</v>
      </c>
      <c r="C9" s="9" t="n">
        <v>9892.642399999999</v>
      </c>
      <c r="D9" s="10" t="n">
        <v>0.1220409869232667</v>
      </c>
      <c r="E9" s="9" t="n">
        <v>18</v>
      </c>
    </row>
    <row r="10">
      <c r="A10" s="8" t="inlineStr">
        <is>
          <t>ELECTRICALS</t>
        </is>
      </c>
      <c r="B10" s="9" t="n">
        <v>450</v>
      </c>
      <c r="C10" s="9" t="n">
        <v>179.046</v>
      </c>
      <c r="D10" s="10" t="n">
        <v>0.39788</v>
      </c>
      <c r="E10" s="9" t="n">
        <v>3</v>
      </c>
    </row>
    <row r="12">
      <c r="A12" s="20" t="inlineStr">
        <is>
          <t>Performance Notes</t>
        </is>
      </c>
    </row>
    <row r="13">
      <c r="A13" s="22" t="inlineStr">
        <is>
          <t xml:space="preserve">  Sales 60% below team average - needs improvement</t>
        </is>
      </c>
    </row>
    <row r="14">
      <c r="A14" s="23" t="inlineStr">
        <is>
          <t xml:space="preserve">  Paints Dept Head: 63.2% of dept sales, 14.8% margin</t>
        </is>
      </c>
    </row>
    <row r="15">
      <c r="A15" s="21" t="inlineStr">
        <is>
          <t xml:space="preserve">  Good paints leadership with 63.2% of dept sales</t>
        </is>
      </c>
    </row>
    <row r="16">
      <c r="A16" s="21" t="inlineStr">
        <is>
          <t xml:space="preserve">  Selling across all 4 categories - excellent product range</t>
        </is>
      </c>
    </row>
    <row r="17">
      <c r="A17" s="23" t="inlineStr">
        <is>
          <t xml:space="preserve">  Best margin in ELECTRICALS: 39.8%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Lewis - Department Head - Plumbing</t>
        </is>
      </c>
    </row>
    <row r="2">
      <c r="A2" s="20" t="inlineStr">
        <is>
          <t>BEST MARGIN</t>
        </is>
      </c>
    </row>
    <row r="4">
      <c r="A4" s="7" t="inlineStr">
        <is>
          <t>Total Sales</t>
        </is>
      </c>
      <c r="B4" s="7" t="inlineStr">
        <is>
          <t>Total Profit</t>
        </is>
      </c>
      <c r="C4" s="7" t="inlineStr">
        <is>
          <t>Margin %</t>
        </is>
      </c>
      <c r="D4" s="7" t="inlineStr">
        <is>
          <t>Items Sold</t>
        </is>
      </c>
      <c r="E4" s="7" t="inlineStr">
        <is>
          <t>Sales Rank</t>
        </is>
      </c>
    </row>
    <row r="5">
      <c r="A5" s="9" t="n">
        <v>477193</v>
      </c>
      <c r="B5" s="9" t="n">
        <v>122005.2388</v>
      </c>
      <c r="C5" s="10" t="n">
        <v>0.2556727336737966</v>
      </c>
      <c r="D5" s="9" t="n">
        <v>1588</v>
      </c>
      <c r="E5" s="8" t="n">
        <v>6</v>
      </c>
    </row>
    <row r="7">
      <c r="A7" s="13" t="inlineStr">
        <is>
          <t>Category</t>
        </is>
      </c>
      <c r="B7" s="13" t="inlineStr">
        <is>
          <t>Sales (KES)</t>
        </is>
      </c>
      <c r="C7" s="13" t="inlineStr">
        <is>
          <t>Profit (KES)</t>
        </is>
      </c>
      <c r="D7" s="13" t="inlineStr">
        <is>
          <t>Margin %</t>
        </is>
      </c>
      <c r="E7" s="13" t="inlineStr">
        <is>
          <t>Qty</t>
        </is>
      </c>
    </row>
    <row r="8">
      <c r="A8" s="8" t="inlineStr">
        <is>
          <t>GENERAL HARDWARE</t>
        </is>
      </c>
      <c r="B8" s="9" t="n">
        <v>65545</v>
      </c>
      <c r="C8" s="9" t="n">
        <v>17170.6448</v>
      </c>
      <c r="D8" s="10" t="n">
        <v>0.2619672713403005</v>
      </c>
      <c r="E8" s="9" t="n">
        <v>167</v>
      </c>
    </row>
    <row r="9">
      <c r="A9" s="8" t="inlineStr">
        <is>
          <t>PAINTS</t>
        </is>
      </c>
      <c r="B9" s="9" t="n">
        <v>46510</v>
      </c>
      <c r="C9" s="9" t="n">
        <v>11413.124</v>
      </c>
      <c r="D9" s="10" t="n">
        <v>0.2453907546764136</v>
      </c>
      <c r="E9" s="9" t="n">
        <v>130</v>
      </c>
    </row>
    <row r="10">
      <c r="A10" s="8" t="inlineStr">
        <is>
          <t>PLUMBING</t>
        </is>
      </c>
      <c r="B10" s="9" t="n">
        <v>361968</v>
      </c>
      <c r="C10" s="9" t="n">
        <v>92837.42159999999</v>
      </c>
      <c r="D10" s="10" t="n">
        <v>0.2564796379790478</v>
      </c>
      <c r="E10" s="9" t="n">
        <v>1286</v>
      </c>
    </row>
    <row r="11">
      <c r="A11" s="8" t="inlineStr">
        <is>
          <t>ELECTRICALS</t>
        </is>
      </c>
      <c r="B11" s="9" t="n">
        <v>3170</v>
      </c>
      <c r="C11" s="9" t="n">
        <v>584.0484</v>
      </c>
      <c r="D11" s="10" t="n">
        <v>0.1842423974763407</v>
      </c>
      <c r="E11" s="9" t="n">
        <v>5</v>
      </c>
    </row>
    <row r="13">
      <c r="A13" s="20" t="inlineStr">
        <is>
          <t>Performance Notes</t>
        </is>
      </c>
    </row>
    <row r="14">
      <c r="A14" s="22" t="inlineStr">
        <is>
          <t xml:space="preserve">  Sales 73% below team average - needs improvement</t>
        </is>
      </c>
    </row>
    <row r="15">
      <c r="A15" s="21" t="inlineStr">
        <is>
          <t xml:space="preserve">  Excellent margin at 25.6% (Team avg: 13.4%)</t>
        </is>
      </c>
    </row>
    <row r="16">
      <c r="A16" s="23" t="inlineStr">
        <is>
          <t xml:space="preserve">  Plumbing Dept Head: 57.7% of dept sales, 25.6% margin</t>
        </is>
      </c>
    </row>
    <row r="17">
      <c r="A17" s="21" t="inlineStr">
        <is>
          <t xml:space="preserve">  Strong plumbing leadership with 57.7% of dept sales</t>
        </is>
      </c>
    </row>
    <row r="18">
      <c r="A18" s="21" t="inlineStr">
        <is>
          <t xml:space="preserve">  Selling across all 4 categories - excellent product range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Bonface Kitheka - Department Head - Electricals</t>
        </is>
      </c>
    </row>
    <row r="3">
      <c r="A3" s="7" t="inlineStr">
        <is>
          <t>Total Sales</t>
        </is>
      </c>
      <c r="B3" s="7" t="inlineStr">
        <is>
          <t>Total Profit</t>
        </is>
      </c>
      <c r="C3" s="7" t="inlineStr">
        <is>
          <t>Margin %</t>
        </is>
      </c>
      <c r="D3" s="7" t="inlineStr">
        <is>
          <t>Items Sold</t>
        </is>
      </c>
      <c r="E3" s="7" t="inlineStr">
        <is>
          <t>Sales Rank</t>
        </is>
      </c>
    </row>
    <row r="4">
      <c r="A4" s="9" t="n">
        <v>446380</v>
      </c>
      <c r="B4" s="9" t="n">
        <v>93873.348</v>
      </c>
      <c r="C4" s="10" t="n">
        <v>0.2102991800707917</v>
      </c>
      <c r="D4" s="9" t="n">
        <v>4985</v>
      </c>
      <c r="E4" s="8" t="n">
        <v>7</v>
      </c>
    </row>
    <row r="6">
      <c r="A6" s="13" t="inlineStr">
        <is>
          <t>Category</t>
        </is>
      </c>
      <c r="B6" s="13" t="inlineStr">
        <is>
          <t>Sales (KES)</t>
        </is>
      </c>
      <c r="C6" s="13" t="inlineStr">
        <is>
          <t>Profit (KES)</t>
        </is>
      </c>
      <c r="D6" s="13" t="inlineStr">
        <is>
          <t>Margin %</t>
        </is>
      </c>
      <c r="E6" s="13" t="inlineStr">
        <is>
          <t>Qty</t>
        </is>
      </c>
    </row>
    <row r="7">
      <c r="A7" s="8" t="inlineStr">
        <is>
          <t>GENERAL HARDWARE</t>
        </is>
      </c>
      <c r="B7" s="9" t="n">
        <v>96560</v>
      </c>
      <c r="C7" s="9" t="n">
        <v>20892.4236</v>
      </c>
      <c r="D7" s="10" t="n">
        <v>0.216367270091135</v>
      </c>
      <c r="E7" s="9" t="n">
        <v>541</v>
      </c>
    </row>
    <row r="8">
      <c r="A8" s="8" t="inlineStr">
        <is>
          <t>PAINTS</t>
        </is>
      </c>
      <c r="B8" s="9" t="n">
        <v>15800</v>
      </c>
      <c r="C8" s="9" t="n">
        <v>3522.6416</v>
      </c>
      <c r="D8" s="10" t="n">
        <v>0.222952</v>
      </c>
      <c r="E8" s="9" t="n">
        <v>35</v>
      </c>
    </row>
    <row r="9">
      <c r="A9" s="8" t="inlineStr">
        <is>
          <t>PLUMBING</t>
        </is>
      </c>
      <c r="B9" s="9" t="n">
        <v>3970</v>
      </c>
      <c r="C9" s="9" t="n">
        <v>1597.262</v>
      </c>
      <c r="D9" s="10" t="n">
        <v>0.4023329974811083</v>
      </c>
      <c r="E9" s="9" t="n">
        <v>11</v>
      </c>
    </row>
    <row r="10">
      <c r="A10" s="8" t="inlineStr">
        <is>
          <t>ELECTRICALS</t>
        </is>
      </c>
      <c r="B10" s="9" t="n">
        <v>330050</v>
      </c>
      <c r="C10" s="9" t="n">
        <v>67861.0208</v>
      </c>
      <c r="D10" s="10" t="n">
        <v>0.2056083041963339</v>
      </c>
      <c r="E10" s="9" t="n">
        <v>4398</v>
      </c>
    </row>
    <row r="12">
      <c r="A12" s="20" t="inlineStr">
        <is>
          <t>Performance Notes</t>
        </is>
      </c>
    </row>
    <row r="13">
      <c r="A13" s="22" t="inlineStr">
        <is>
          <t xml:space="preserve">  Sales 75% below team average - needs improvement</t>
        </is>
      </c>
    </row>
    <row r="14">
      <c r="A14" s="21" t="inlineStr">
        <is>
          <t xml:space="preserve">  Excellent margin at 21.0% (Team avg: 13.4%)</t>
        </is>
      </c>
    </row>
    <row r="15">
      <c r="A15" s="23" t="inlineStr">
        <is>
          <t xml:space="preserve">  Electricals Dept Head: 96.2% of dept sales, 20.6% margin</t>
        </is>
      </c>
    </row>
    <row r="16">
      <c r="A16" s="21" t="inlineStr">
        <is>
          <t xml:space="preserve">  Strong leadership - controls 96.2% of department sales</t>
        </is>
      </c>
    </row>
    <row r="17">
      <c r="A17" s="21" t="inlineStr">
        <is>
          <t xml:space="preserve">  Selling across all 4 categories - excellent product range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2026-03-10T05:32:13Z</dcterms:created>
  <dcterms:modified xmlns:dcterms="http://purl.org/dc/terms/" xmlns:xsi="http://www.w3.org/2001/XMLSchema-instance" xsi:type="dcterms:W3CDTF">2026-03-10T05:32:13Z</dcterms:modified>
</cp:coreProperties>
</file>