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Category Breakdown" sheetId="3" state="visible" r:id="rId3"/>
    <sheet xmlns:r="http://schemas.openxmlformats.org/officeDocument/2006/relationships" name="Department Heads" sheetId="4" state="visible" r:id="rId4"/>
    <sheet xmlns:r="http://schemas.openxmlformats.org/officeDocument/2006/relationships" name="Performance Notes" sheetId="5" state="visible" r:id="rId5"/>
    <sheet xmlns:r="http://schemas.openxmlformats.org/officeDocument/2006/relationships" name="Cha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2"/>
    </font>
    <font>
      <b val="1"/>
      <sz val="12"/>
    </font>
    <font>
      <b val="1"/>
      <color rgb="00FFFFFF"/>
      <sz val="11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27AE60"/>
        <bgColor rgb="0027AE60"/>
      </patternFill>
    </fill>
    <fill>
      <patternFill patternType="solid">
        <fgColor rgb="008E44AD"/>
        <bgColor rgb="008E44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4" fillId="2" borderId="1" applyAlignment="1" pivotButton="0" quotePrefix="0" xfId="0">
      <alignment horizontal="center"/>
    </xf>
    <xf numFmtId="165" fontId="0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5" fillId="0" borderId="0" pivotButton="0" quotePrefix="0" xfId="0"/>
    <xf numFmtId="0" fontId="0" fillId="0" borderId="1" applyAlignment="1" pivotButton="0" quotePrefix="0" xfId="0">
      <alignment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Margin by Rep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'Charts'!$D$4:$D$10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Margin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'Charts'!$A$17:$A$20</f>
            </numRef>
          </cat>
          <val>
            <numRef>
              <f>'Charts'!$B$17:$B$20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 1 vs Week 2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'Charts'!$C$37:$C$43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Radar - All Reps</a:t>
            </a:r>
          </a:p>
        </rich>
      </tx>
    </title>
    <plotArea>
      <radarChart>
        <radarStyle val="filled"/>
        <ser>
          <idx val="0"/>
          <order val="0"/>
          <tx>
            <strRef>
              <f>'Charts'!B61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'Charts'!$B$62:$B$65</f>
            </numRef>
          </val>
        </ser>
        <ser>
          <idx val="1"/>
          <order val="1"/>
          <tx>
            <strRef>
              <f>'Charts'!C61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'Charts'!$C$62:$C$65</f>
            </numRef>
          </val>
        </ser>
        <ser>
          <idx val="2"/>
          <order val="2"/>
          <tx>
            <strRef>
              <f>'Charts'!D61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'Charts'!$D$62:$D$65</f>
            </numRef>
          </val>
        </ser>
        <ser>
          <idx val="3"/>
          <order val="3"/>
          <tx>
            <strRef>
              <f>'Charts'!E61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'Charts'!$E$62:$E$65</f>
            </numRef>
          </val>
        </ser>
        <ser>
          <idx val="4"/>
          <order val="4"/>
          <tx>
            <strRef>
              <f>'Charts'!F61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'Charts'!$F$62:$F$65</f>
            </numRef>
          </val>
        </ser>
        <ser>
          <idx val="5"/>
          <order val="5"/>
          <tx>
            <strRef>
              <f>'Charts'!G61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'Charts'!$G$62:$G$65</f>
            </numRef>
          </val>
        </ser>
        <ser>
          <idx val="6"/>
          <order val="6"/>
          <tx>
            <strRef>
              <f>'Charts'!H61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'Charts'!$H$62:$H$65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'Charts'!B86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'Charts'!$A$87:$A$93</f>
            </numRef>
          </cat>
          <val>
            <numRef>
              <f>'Charts'!$B$87:$B$93</f>
            </numRef>
          </val>
        </ser>
        <ser>
          <idx val="1"/>
          <order val="1"/>
          <tx>
            <strRef>
              <f>'Charts'!C86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'Charts'!$A$87:$A$93</f>
            </numRef>
          </cat>
          <val>
            <numRef>
              <f>'Charts'!$C$87:$C$93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 (by Sales Rank)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36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21</row>
      <rowOff>0</rowOff>
    </from>
    <ext cx="43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46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96</row>
      <rowOff>0</rowOff>
    </from>
    <ext cx="648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12" customWidth="1" min="4" max="4"/>
    <col width="15" customWidth="1" min="5" max="5"/>
  </cols>
  <sheetData>
    <row r="1">
      <c r="A1" s="1" t="inlineStr">
        <is>
          <t>SALES REP PERFORMANCE ANALYSIS</t>
        </is>
      </c>
    </row>
    <row r="2">
      <c r="A2" s="2" t="inlineStr">
        <is>
          <t>BOMAS Hardware Store - February 1-14, 2026 (12 Working Days)</t>
        </is>
      </c>
    </row>
    <row r="3">
      <c r="A3" t="inlineStr">
        <is>
          <t>Generated: 2026-02-16 15:07:16</t>
        </is>
      </c>
    </row>
    <row r="5">
      <c r="A5" s="3" t="inlineStr">
        <is>
          <t>OVERALL METRICS</t>
        </is>
      </c>
    </row>
    <row r="6">
      <c r="A6" s="4" t="inlineStr">
        <is>
          <t>Metric</t>
        </is>
      </c>
      <c r="B6" s="4" t="inlineStr">
        <is>
          <t>Value</t>
        </is>
      </c>
    </row>
    <row r="7">
      <c r="A7" s="5" t="inlineStr">
        <is>
          <t>Total Sales</t>
        </is>
      </c>
      <c r="B7" s="6" t="n">
        <v>34332352</v>
      </c>
    </row>
    <row r="8">
      <c r="A8" s="5" t="inlineStr">
        <is>
          <t>Total Profit</t>
        </is>
      </c>
      <c r="B8" s="6" t="n">
        <v>2990690.2732</v>
      </c>
    </row>
    <row r="9">
      <c r="A9" s="5" t="inlineStr">
        <is>
          <t>Overall Margin</t>
        </is>
      </c>
      <c r="B9" s="7" t="n">
        <v>0.08710997350836902</v>
      </c>
    </row>
    <row r="10">
      <c r="A10" s="5" t="inlineStr">
        <is>
          <t>Daily Average</t>
        </is>
      </c>
      <c r="B10" s="6" t="n">
        <v>2861029.333333333</v>
      </c>
    </row>
    <row r="11">
      <c r="A11" s="5" t="inlineStr">
        <is>
          <t>Total Reps</t>
        </is>
      </c>
      <c r="B11" s="5" t="n">
        <v>7</v>
      </c>
    </row>
    <row r="14">
      <c r="A14" s="3" t="inlineStr">
        <is>
          <t>WEEK COMPARISON</t>
        </is>
      </c>
    </row>
    <row r="15">
      <c r="A15" s="8" t="inlineStr">
        <is>
          <t>Week</t>
        </is>
      </c>
      <c r="B15" s="8" t="inlineStr">
        <is>
          <t>Sales</t>
        </is>
      </c>
      <c r="C15" s="8" t="inlineStr">
        <is>
          <t>Profit</t>
        </is>
      </c>
      <c r="D15" s="8" t="inlineStr">
        <is>
          <t>Margin</t>
        </is>
      </c>
      <c r="E15" s="8" t="inlineStr">
        <is>
          <t>Daily Avg</t>
        </is>
      </c>
    </row>
    <row r="16">
      <c r="A16" s="5" t="inlineStr">
        <is>
          <t>Week 1 (Feb 1-7)</t>
        </is>
      </c>
      <c r="B16" s="6" t="n">
        <v>14267092</v>
      </c>
      <c r="C16" s="6" t="n">
        <v>1352772.164</v>
      </c>
      <c r="D16" s="7" t="n">
        <v>0.09481765197841296</v>
      </c>
      <c r="E16" s="6" t="n">
        <v>2377848.666666667</v>
      </c>
    </row>
    <row r="17">
      <c r="A17" s="5" t="inlineStr">
        <is>
          <t>Week 2 (Feb 9-14)</t>
        </is>
      </c>
      <c r="B17" s="6" t="n">
        <v>20065260</v>
      </c>
      <c r="C17" s="6" t="n">
        <v>1637918.1092</v>
      </c>
      <c r="D17" s="7" t="n">
        <v>0.08162954824407956</v>
      </c>
      <c r="E17" s="6" t="n">
        <v>3344210</v>
      </c>
    </row>
    <row r="18">
      <c r="A18" s="5" t="inlineStr">
        <is>
          <t>Change</t>
        </is>
      </c>
      <c r="B18" s="6" t="n">
        <v>5798168</v>
      </c>
      <c r="C18" s="6" t="n">
        <v>285145.9452</v>
      </c>
      <c r="D18" s="7" t="n">
        <v>-0.01318810373433341</v>
      </c>
      <c r="E18" s="6" t="n">
        <v>966361.3333333334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25" customWidth="1" min="3" max="3"/>
    <col width="15" customWidth="1" min="4" max="4"/>
    <col width="15" customWidth="1" min="5" max="5"/>
    <col width="12" customWidth="1" min="6" max="6"/>
    <col width="12" customWidth="1" min="7" max="7"/>
    <col width="12" customWidth="1" min="8" max="8"/>
    <col width="18" customWidth="1" min="9" max="9"/>
  </cols>
  <sheetData>
    <row r="1">
      <c r="A1" s="9" t="inlineStr">
        <is>
          <t>Rank</t>
        </is>
      </c>
      <c r="B1" s="9" t="inlineStr">
        <is>
          <t>Rep Name</t>
        </is>
      </c>
      <c r="C1" s="9" t="inlineStr">
        <is>
          <t>Role</t>
        </is>
      </c>
      <c r="D1" s="9" t="inlineStr">
        <is>
          <t>Total Sales</t>
        </is>
      </c>
      <c r="E1" s="9" t="inlineStr">
        <is>
          <t>Total Profit</t>
        </is>
      </c>
      <c r="F1" s="9" t="inlineStr">
        <is>
          <t>Margin %</t>
        </is>
      </c>
      <c r="G1" s="9" t="inlineStr">
        <is>
          <t>Items Sold</t>
        </is>
      </c>
      <c r="H1" s="9" t="inlineStr">
        <is>
          <t>Margin Rank</t>
        </is>
      </c>
      <c r="I1" s="9" t="inlineStr">
        <is>
          <t>Week Improvement %</t>
        </is>
      </c>
    </row>
    <row r="2">
      <c r="A2" s="5" t="n">
        <v>1</v>
      </c>
      <c r="B2" s="5" t="inlineStr">
        <is>
          <t>Gladys</t>
        </is>
      </c>
      <c r="C2" s="5" t="inlineStr">
        <is>
          <t>General Hardware Team</t>
        </is>
      </c>
      <c r="D2" s="6" t="n">
        <v>14647405</v>
      </c>
      <c r="E2" s="6" t="n">
        <v>858757.5351999999</v>
      </c>
      <c r="F2" s="7" t="n">
        <v>0.05862864686270366</v>
      </c>
      <c r="G2" s="10" t="n">
        <v>16404</v>
      </c>
      <c r="H2" s="5" t="n">
        <v>7</v>
      </c>
      <c r="I2" s="7" t="n">
        <v>0.6010306523173251</v>
      </c>
    </row>
    <row r="3">
      <c r="A3" s="5" t="n">
        <v>2</v>
      </c>
      <c r="B3" s="5" t="inlineStr">
        <is>
          <t>Betha Odumo</t>
        </is>
      </c>
      <c r="C3" s="5" t="inlineStr">
        <is>
          <t>General Hardware Team</t>
        </is>
      </c>
      <c r="D3" s="6" t="n">
        <v>5804195</v>
      </c>
      <c r="E3" s="6" t="n">
        <v>480175.3184</v>
      </c>
      <c r="F3" s="7" t="n">
        <v>0.08272901210245348</v>
      </c>
      <c r="G3" s="10" t="n">
        <v>8248</v>
      </c>
      <c r="H3" s="5" t="n">
        <v>6</v>
      </c>
      <c r="I3" s="7" t="n">
        <v>0.5410521108323811</v>
      </c>
    </row>
    <row r="4">
      <c r="A4" s="5" t="n">
        <v>3</v>
      </c>
      <c r="B4" s="5" t="inlineStr">
        <is>
          <t>Eliza</t>
        </is>
      </c>
      <c r="C4" s="5" t="inlineStr">
        <is>
          <t>General Hardware Team</t>
        </is>
      </c>
      <c r="D4" s="6" t="n">
        <v>5053055</v>
      </c>
      <c r="E4" s="6" t="n">
        <v>542997.1716</v>
      </c>
      <c r="F4" s="7" t="n">
        <v>0.1074591849089313</v>
      </c>
      <c r="G4" s="10" t="n">
        <v>6224</v>
      </c>
      <c r="H4" s="5" t="n">
        <v>4</v>
      </c>
      <c r="I4" s="7" t="n">
        <v>0.1314971358187171</v>
      </c>
    </row>
    <row r="5">
      <c r="A5" s="5" t="n">
        <v>4</v>
      </c>
      <c r="B5" s="5" t="inlineStr">
        <is>
          <t>Bonface Muriu</t>
        </is>
      </c>
      <c r="C5" s="5" t="inlineStr">
        <is>
          <t>Department Head - Paints</t>
        </is>
      </c>
      <c r="D5" s="6" t="n">
        <v>2791269</v>
      </c>
      <c r="E5" s="6" t="n">
        <v>379525.3548</v>
      </c>
      <c r="F5" s="7" t="n">
        <v>0.1359687492678061</v>
      </c>
      <c r="G5" s="10" t="n">
        <v>3620.5</v>
      </c>
      <c r="H5" s="5" t="n">
        <v>2</v>
      </c>
      <c r="I5" s="7" t="n">
        <v>-0.1388673855773789</v>
      </c>
    </row>
    <row r="6">
      <c r="A6" s="5" t="n">
        <v>5</v>
      </c>
      <c r="B6" s="5" t="inlineStr">
        <is>
          <t>Stephen</t>
        </is>
      </c>
      <c r="C6" s="5" t="inlineStr">
        <is>
          <t>General Hardware Team</t>
        </is>
      </c>
      <c r="D6" s="6" t="n">
        <v>2718386</v>
      </c>
      <c r="E6" s="6" t="n">
        <v>284494.0252</v>
      </c>
      <c r="F6" s="7" t="n">
        <v>0.1046554923399399</v>
      </c>
      <c r="G6" s="10" t="n">
        <v>3598.5</v>
      </c>
      <c r="H6" s="5" t="n">
        <v>5</v>
      </c>
      <c r="I6" s="7" t="n">
        <v>0.3496932780481817</v>
      </c>
    </row>
    <row r="7">
      <c r="A7" s="5" t="n">
        <v>6</v>
      </c>
      <c r="B7" s="5" t="inlineStr">
        <is>
          <t>Lewis</t>
        </is>
      </c>
      <c r="C7" s="5" t="inlineStr">
        <is>
          <t>Department Head - Plumbing</t>
        </is>
      </c>
      <c r="D7" s="6" t="n">
        <v>2063242</v>
      </c>
      <c r="E7" s="6" t="n">
        <v>259770.342</v>
      </c>
      <c r="F7" s="7" t="n">
        <v>0.1259039618231889</v>
      </c>
      <c r="G7" s="10" t="n">
        <v>3434</v>
      </c>
      <c r="H7" s="5" t="n">
        <v>3</v>
      </c>
      <c r="I7" s="7" t="n">
        <v>0.4634637036930906</v>
      </c>
    </row>
    <row r="8">
      <c r="A8" s="5" t="n">
        <v>7</v>
      </c>
      <c r="B8" s="5" t="inlineStr">
        <is>
          <t>Bonface Kitheka</t>
        </is>
      </c>
      <c r="C8" s="5" t="inlineStr">
        <is>
          <t>Department Head - Electricals</t>
        </is>
      </c>
      <c r="D8" s="6" t="n">
        <v>1254800</v>
      </c>
      <c r="E8" s="6" t="n">
        <v>184970.526</v>
      </c>
      <c r="F8" s="7" t="n">
        <v>0.1474103649984061</v>
      </c>
      <c r="G8" s="10" t="n">
        <v>3566.25</v>
      </c>
      <c r="H8" s="5" t="n">
        <v>1</v>
      </c>
      <c r="I8" s="7" t="n">
        <v>0.5783914848148605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5" customWidth="1" min="4" max="4"/>
    <col width="12" customWidth="1" min="5" max="5"/>
    <col width="10" customWidth="1" min="6" max="6"/>
  </cols>
  <sheetData>
    <row r="1">
      <c r="A1" s="11" t="inlineStr">
        <is>
          <t>Rep Name</t>
        </is>
      </c>
      <c r="B1" s="11" t="inlineStr">
        <is>
          <t>Category</t>
        </is>
      </c>
      <c r="C1" s="11" t="inlineStr">
        <is>
          <t>Sales</t>
        </is>
      </c>
      <c r="D1" s="11" t="inlineStr">
        <is>
          <t>Profit</t>
        </is>
      </c>
      <c r="E1" s="11" t="inlineStr">
        <is>
          <t>Margin %</t>
        </is>
      </c>
      <c r="F1" s="11" t="inlineStr">
        <is>
          <t>Qty</t>
        </is>
      </c>
    </row>
    <row r="2">
      <c r="A2" s="5" t="inlineStr">
        <is>
          <t>Gladys</t>
        </is>
      </c>
      <c r="B2" s="5" t="inlineStr">
        <is>
          <t>GENERAL HARDWARE</t>
        </is>
      </c>
      <c r="C2" s="6" t="n">
        <v>14466025</v>
      </c>
      <c r="D2" s="6" t="n">
        <v>823383.6368</v>
      </c>
      <c r="E2" s="7" t="n">
        <v>0.05691844420288227</v>
      </c>
      <c r="F2" s="10" t="n">
        <v>16141</v>
      </c>
    </row>
    <row r="3">
      <c r="A3" s="5" t="inlineStr">
        <is>
          <t>Gladys</t>
        </is>
      </c>
      <c r="B3" s="5" t="inlineStr">
        <is>
          <t>PAINTS</t>
        </is>
      </c>
      <c r="C3" s="6" t="n">
        <v>95210</v>
      </c>
      <c r="D3" s="6" t="n">
        <v>13387.3512</v>
      </c>
      <c r="E3" s="7" t="n">
        <v>0.1406086671568113</v>
      </c>
      <c r="F3" s="10" t="n">
        <v>48</v>
      </c>
    </row>
    <row r="4">
      <c r="A4" s="5" t="inlineStr">
        <is>
          <t>Gladys</t>
        </is>
      </c>
      <c r="B4" s="5" t="inlineStr">
        <is>
          <t>PLUMBING</t>
        </is>
      </c>
      <c r="C4" s="6" t="n">
        <v>85520</v>
      </c>
      <c r="D4" s="6" t="n">
        <v>21731.8228</v>
      </c>
      <c r="E4" s="7" t="n">
        <v>0.2541139242282507</v>
      </c>
      <c r="F4" s="10" t="n">
        <v>210</v>
      </c>
    </row>
    <row r="5">
      <c r="A5" s="5" t="inlineStr">
        <is>
          <t>Gladys</t>
        </is>
      </c>
      <c r="B5" s="5" t="inlineStr">
        <is>
          <t>ELECTRICALS</t>
        </is>
      </c>
      <c r="C5" s="6" t="n">
        <v>650</v>
      </c>
      <c r="D5" s="6" t="n">
        <v>254.7244</v>
      </c>
      <c r="E5" s="7" t="n">
        <v>0.3918836923076923</v>
      </c>
      <c r="F5" s="10" t="n">
        <v>5</v>
      </c>
    </row>
    <row r="6">
      <c r="A6" s="5" t="inlineStr">
        <is>
          <t>Betha Odumo</t>
        </is>
      </c>
      <c r="B6" s="5" t="inlineStr">
        <is>
          <t>GENERAL HARDWARE</t>
        </is>
      </c>
      <c r="C6" s="6" t="n">
        <v>5496625</v>
      </c>
      <c r="D6" s="6" t="n">
        <v>417230.1108</v>
      </c>
      <c r="E6" s="7" t="n">
        <v>0.07590659919496054</v>
      </c>
      <c r="F6" s="10" t="n">
        <v>7655</v>
      </c>
    </row>
    <row r="7">
      <c r="A7" s="5" t="inlineStr">
        <is>
          <t>Betha Odumo</t>
        </is>
      </c>
      <c r="B7" s="5" t="inlineStr">
        <is>
          <t>PAINTS</t>
        </is>
      </c>
      <c r="C7" s="6" t="n">
        <v>244110</v>
      </c>
      <c r="D7" s="6" t="n">
        <v>45023.63679999999</v>
      </c>
      <c r="E7" s="7" t="n">
        <v>0.1844399524804391</v>
      </c>
      <c r="F7" s="10" t="n">
        <v>223</v>
      </c>
    </row>
    <row r="8">
      <c r="A8" s="5" t="inlineStr">
        <is>
          <t>Betha Odumo</t>
        </is>
      </c>
      <c r="B8" s="5" t="inlineStr">
        <is>
          <t>PLUMBING</t>
        </is>
      </c>
      <c r="C8" s="6" t="n">
        <v>48250</v>
      </c>
      <c r="D8" s="6" t="n">
        <v>13358.9428</v>
      </c>
      <c r="E8" s="7" t="n">
        <v>0.2768692808290155</v>
      </c>
      <c r="F8" s="10" t="n">
        <v>224</v>
      </c>
    </row>
    <row r="9">
      <c r="A9" s="5" t="inlineStr">
        <is>
          <t>Betha Odumo</t>
        </is>
      </c>
      <c r="B9" s="5" t="inlineStr">
        <is>
          <t>ELECTRICALS</t>
        </is>
      </c>
      <c r="C9" s="6" t="n">
        <v>15210</v>
      </c>
      <c r="D9" s="6" t="n">
        <v>4562.628</v>
      </c>
      <c r="E9" s="7" t="n">
        <v>0.2999755424063116</v>
      </c>
      <c r="F9" s="10" t="n">
        <v>146</v>
      </c>
    </row>
    <row r="10">
      <c r="A10" s="5" t="inlineStr">
        <is>
          <t>Eliza</t>
        </is>
      </c>
      <c r="B10" s="5" t="inlineStr">
        <is>
          <t>GENERAL HARDWARE</t>
        </is>
      </c>
      <c r="C10" s="6" t="n">
        <v>3868410</v>
      </c>
      <c r="D10" s="6" t="n">
        <v>348624.3584</v>
      </c>
      <c r="E10" s="7" t="n">
        <v>0.0901208399316515</v>
      </c>
      <c r="F10" s="10" t="n">
        <v>4636</v>
      </c>
    </row>
    <row r="11">
      <c r="A11" s="5" t="inlineStr">
        <is>
          <t>Eliza</t>
        </is>
      </c>
      <c r="B11" s="5" t="inlineStr">
        <is>
          <t>PAINTS</t>
        </is>
      </c>
      <c r="C11" s="6" t="n">
        <v>1027600</v>
      </c>
      <c r="D11" s="6" t="n">
        <v>150714.9604</v>
      </c>
      <c r="E11" s="7" t="n">
        <v>0.1466669525107045</v>
      </c>
      <c r="F11" s="10" t="n">
        <v>807</v>
      </c>
    </row>
    <row r="12">
      <c r="A12" s="5" t="inlineStr">
        <is>
          <t>Eliza</t>
        </is>
      </c>
      <c r="B12" s="5" t="inlineStr">
        <is>
          <t>PLUMBING</t>
        </is>
      </c>
      <c r="C12" s="6" t="n">
        <v>116145</v>
      </c>
      <c r="D12" s="6" t="n">
        <v>34528.1192</v>
      </c>
      <c r="E12" s="7" t="n">
        <v>0.2972845942571785</v>
      </c>
      <c r="F12" s="10" t="n">
        <v>432</v>
      </c>
    </row>
    <row r="13">
      <c r="A13" s="5" t="inlineStr">
        <is>
          <t>Eliza</t>
        </is>
      </c>
      <c r="B13" s="5" t="inlineStr">
        <is>
          <t>ELECTRICALS</t>
        </is>
      </c>
      <c r="C13" s="6" t="n">
        <v>40900</v>
      </c>
      <c r="D13" s="6" t="n">
        <v>9129.7336</v>
      </c>
      <c r="E13" s="7" t="n">
        <v>0.2232208704156479</v>
      </c>
      <c r="F13" s="10" t="n">
        <v>349</v>
      </c>
    </row>
    <row r="14">
      <c r="A14" s="5" t="inlineStr">
        <is>
          <t>Bonface Muriu</t>
        </is>
      </c>
      <c r="B14" s="5" t="inlineStr">
        <is>
          <t>GENERAL HARDWARE</t>
        </is>
      </c>
      <c r="C14" s="6" t="n">
        <v>1882589</v>
      </c>
      <c r="D14" s="6" t="n">
        <v>200639.7016</v>
      </c>
      <c r="E14" s="7" t="n">
        <v>0.1065764761187917</v>
      </c>
      <c r="F14" s="10" t="n">
        <v>2443.5</v>
      </c>
    </row>
    <row r="15">
      <c r="A15" s="5" t="inlineStr">
        <is>
          <t>Bonface Muriu</t>
        </is>
      </c>
      <c r="B15" s="5" t="inlineStr">
        <is>
          <t>PAINTS</t>
        </is>
      </c>
      <c r="C15" s="6" t="n">
        <v>800890</v>
      </c>
      <c r="D15" s="6" t="n">
        <v>146361.6312</v>
      </c>
      <c r="E15" s="7" t="n">
        <v>0.1827487310367216</v>
      </c>
      <c r="F15" s="10" t="n">
        <v>869</v>
      </c>
    </row>
    <row r="16">
      <c r="A16" s="5" t="inlineStr">
        <is>
          <t>Bonface Muriu</t>
        </is>
      </c>
      <c r="B16" s="5" t="inlineStr">
        <is>
          <t>PLUMBING</t>
        </is>
      </c>
      <c r="C16" s="6" t="n">
        <v>80600</v>
      </c>
      <c r="D16" s="6" t="n">
        <v>20080.5628</v>
      </c>
      <c r="E16" s="7" t="n">
        <v>0.2491384962779156</v>
      </c>
      <c r="F16" s="10" t="n">
        <v>202</v>
      </c>
    </row>
    <row r="17">
      <c r="A17" s="5" t="inlineStr">
        <is>
          <t>Bonface Muriu</t>
        </is>
      </c>
      <c r="B17" s="5" t="inlineStr">
        <is>
          <t>ELECTRICALS</t>
        </is>
      </c>
      <c r="C17" s="6" t="n">
        <v>27190</v>
      </c>
      <c r="D17" s="6" t="n">
        <v>12443.4592</v>
      </c>
      <c r="E17" s="7" t="n">
        <v>0.4576483707245311</v>
      </c>
      <c r="F17" s="10" t="n">
        <v>106</v>
      </c>
    </row>
    <row r="18">
      <c r="A18" s="5" t="inlineStr">
        <is>
          <t>Stephen</t>
        </is>
      </c>
      <c r="B18" s="5" t="inlineStr">
        <is>
          <t>GENERAL HARDWARE</t>
        </is>
      </c>
      <c r="C18" s="6" t="n">
        <v>2349756</v>
      </c>
      <c r="D18" s="6" t="n">
        <v>221425.0456</v>
      </c>
      <c r="E18" s="7" t="n">
        <v>0.09423320787349834</v>
      </c>
      <c r="F18" s="10" t="n">
        <v>3364.5</v>
      </c>
    </row>
    <row r="19">
      <c r="A19" s="5" t="inlineStr">
        <is>
          <t>Stephen</t>
        </is>
      </c>
      <c r="B19" s="5" t="inlineStr">
        <is>
          <t>PAINTS</t>
        </is>
      </c>
      <c r="C19" s="6" t="n">
        <v>191860</v>
      </c>
      <c r="D19" s="6" t="n">
        <v>33442.6608</v>
      </c>
      <c r="E19" s="7" t="n">
        <v>0.1743076243093923</v>
      </c>
      <c r="F19" s="10" t="n">
        <v>161</v>
      </c>
    </row>
    <row r="20">
      <c r="A20" s="5" t="inlineStr">
        <is>
          <t>Stephen</t>
        </is>
      </c>
      <c r="B20" s="5" t="inlineStr">
        <is>
          <t>PLUMBING</t>
        </is>
      </c>
      <c r="C20" s="6" t="n">
        <v>176770</v>
      </c>
      <c r="D20" s="6" t="n">
        <v>29626.3188</v>
      </c>
      <c r="E20" s="7" t="n">
        <v>0.1675981150647735</v>
      </c>
      <c r="F20" s="10" t="n">
        <v>73</v>
      </c>
    </row>
    <row r="21">
      <c r="A21" s="5" t="inlineStr">
        <is>
          <t>Lewis</t>
        </is>
      </c>
      <c r="B21" s="5" t="inlineStr">
        <is>
          <t>GENERAL HARDWARE</t>
        </is>
      </c>
      <c r="C21" s="6" t="n">
        <v>1554837</v>
      </c>
      <c r="D21" s="6" t="n">
        <v>135605.508</v>
      </c>
      <c r="E21" s="7" t="n">
        <v>0.08721525664748137</v>
      </c>
      <c r="F21" s="10" t="n">
        <v>2080</v>
      </c>
    </row>
    <row r="22">
      <c r="A22" s="5" t="inlineStr">
        <is>
          <t>Lewis</t>
        </is>
      </c>
      <c r="B22" s="5" t="inlineStr">
        <is>
          <t>PAINTS</t>
        </is>
      </c>
      <c r="C22" s="6" t="n">
        <v>119200</v>
      </c>
      <c r="D22" s="6" t="n">
        <v>27766.4444</v>
      </c>
      <c r="E22" s="7" t="n">
        <v>0.2329399697986577</v>
      </c>
      <c r="F22" s="10" t="n">
        <v>172</v>
      </c>
    </row>
    <row r="23">
      <c r="A23" s="5" t="inlineStr">
        <is>
          <t>Lewis</t>
        </is>
      </c>
      <c r="B23" s="5" t="inlineStr">
        <is>
          <t>PLUMBING</t>
        </is>
      </c>
      <c r="C23" s="6" t="n">
        <v>365650</v>
      </c>
      <c r="D23" s="6" t="n">
        <v>92302.27879999999</v>
      </c>
      <c r="E23" s="7" t="n">
        <v>0.2524334166552714</v>
      </c>
      <c r="F23" s="10" t="n">
        <v>1135</v>
      </c>
    </row>
    <row r="24">
      <c r="A24" s="5" t="inlineStr">
        <is>
          <t>Lewis</t>
        </is>
      </c>
      <c r="B24" s="5" t="inlineStr">
        <is>
          <t>ELECTRICALS</t>
        </is>
      </c>
      <c r="C24" s="6" t="n">
        <v>23555</v>
      </c>
      <c r="D24" s="6" t="n">
        <v>4096.110799999999</v>
      </c>
      <c r="E24" s="7" t="n">
        <v>0.1738955975376777</v>
      </c>
      <c r="F24" s="10" t="n">
        <v>47</v>
      </c>
    </row>
    <row r="25">
      <c r="A25" s="5" t="inlineStr">
        <is>
          <t>Bonface Kitheka</t>
        </is>
      </c>
      <c r="B25" s="5" t="inlineStr">
        <is>
          <t>GENERAL HARDWARE</t>
        </is>
      </c>
      <c r="C25" s="6" t="n">
        <v>771272</v>
      </c>
      <c r="D25" s="6" t="n">
        <v>85645.6072</v>
      </c>
      <c r="E25" s="7" t="n">
        <v>0.1110446213527783</v>
      </c>
      <c r="F25" s="10" t="n">
        <v>1135.25</v>
      </c>
    </row>
    <row r="26">
      <c r="A26" s="5" t="inlineStr">
        <is>
          <t>Bonface Kitheka</t>
        </is>
      </c>
      <c r="B26" s="5" t="inlineStr">
        <is>
          <t>PAINTS</t>
        </is>
      </c>
      <c r="C26" s="6" t="n">
        <v>247556</v>
      </c>
      <c r="D26" s="6" t="n">
        <v>36685.812</v>
      </c>
      <c r="E26" s="7" t="n">
        <v>0.1481919727253631</v>
      </c>
      <c r="F26" s="10" t="n">
        <v>270</v>
      </c>
    </row>
    <row r="27">
      <c r="A27" s="5" t="inlineStr">
        <is>
          <t>Bonface Kitheka</t>
        </is>
      </c>
      <c r="B27" s="5" t="inlineStr">
        <is>
          <t>PLUMBING</t>
        </is>
      </c>
      <c r="C27" s="6" t="n">
        <v>103551</v>
      </c>
      <c r="D27" s="6" t="n">
        <v>26149.6248</v>
      </c>
      <c r="E27" s="7" t="n">
        <v>0.2525289451574586</v>
      </c>
      <c r="F27" s="10" t="n">
        <v>354</v>
      </c>
    </row>
    <row r="28">
      <c r="A28" s="5" t="inlineStr">
        <is>
          <t>Bonface Kitheka</t>
        </is>
      </c>
      <c r="B28" s="5" t="inlineStr">
        <is>
          <t>ELECTRICALS</t>
        </is>
      </c>
      <c r="C28" s="6" t="n">
        <v>132421</v>
      </c>
      <c r="D28" s="6" t="n">
        <v>36489.482</v>
      </c>
      <c r="E28" s="7" t="n">
        <v>0.2755566111115306</v>
      </c>
      <c r="F28" s="10" t="n">
        <v>1807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2" t="inlineStr">
        <is>
          <t>Department</t>
        </is>
      </c>
      <c r="B1" s="12" t="inlineStr">
        <is>
          <t>Head</t>
        </is>
      </c>
      <c r="C1" s="12" t="inlineStr">
        <is>
          <t>Dept Sales</t>
        </is>
      </c>
      <c r="D1" s="12" t="inlineStr">
        <is>
          <t>Dept Profit</t>
        </is>
      </c>
      <c r="E1" s="12" t="inlineStr">
        <is>
          <t>Dept Margin</t>
        </is>
      </c>
      <c r="F1" s="12" t="inlineStr">
        <is>
          <t>Dept Share %</t>
        </is>
      </c>
    </row>
    <row r="2">
      <c r="A2" s="5" t="inlineStr">
        <is>
          <t>PLUMBING</t>
        </is>
      </c>
      <c r="B2" s="5" t="inlineStr">
        <is>
          <t>Lewis</t>
        </is>
      </c>
      <c r="C2" s="6" t="n">
        <v>365650</v>
      </c>
      <c r="D2" s="6" t="n">
        <v>92302.27879999999</v>
      </c>
      <c r="E2" s="7" t="n">
        <v>0.2524334166552714</v>
      </c>
      <c r="F2" s="7" t="n">
        <v>0.3744549333016551</v>
      </c>
    </row>
    <row r="3">
      <c r="A3" s="5" t="inlineStr">
        <is>
          <t>PAINTS</t>
        </is>
      </c>
      <c r="B3" s="5" t="inlineStr">
        <is>
          <t>Bonface Muriu</t>
        </is>
      </c>
      <c r="C3" s="6" t="n">
        <v>800890</v>
      </c>
      <c r="D3" s="6" t="n">
        <v>146361.6312</v>
      </c>
      <c r="E3" s="7" t="n">
        <v>0.1827487310367216</v>
      </c>
      <c r="F3" s="7" t="n">
        <v>0.2937508665190253</v>
      </c>
    </row>
    <row r="4">
      <c r="A4" s="5" t="inlineStr">
        <is>
          <t>ELECTRICALS</t>
        </is>
      </c>
      <c r="B4" s="5" t="inlineStr">
        <is>
          <t>Bonface Kitheka</t>
        </is>
      </c>
      <c r="C4" s="6" t="n">
        <v>132421</v>
      </c>
      <c r="D4" s="6" t="n">
        <v>36489.482</v>
      </c>
      <c r="E4" s="7" t="n">
        <v>0.2755566111115306</v>
      </c>
      <c r="F4" s="7" t="n">
        <v>0.5519243433391963</v>
      </c>
    </row>
    <row r="6">
      <c r="A6" s="13" t="inlineStr">
        <is>
          <t>GENERAL HARDWARE TEAM</t>
        </is>
      </c>
    </row>
    <row r="7">
      <c r="A7" s="8" t="inlineStr">
        <is>
          <t>Rep</t>
        </is>
      </c>
      <c r="B7" s="8" t="inlineStr">
        <is>
          <t>GH Sales</t>
        </is>
      </c>
      <c r="C7" s="8" t="inlineStr">
        <is>
          <t>GH Profit</t>
        </is>
      </c>
      <c r="D7" s="8" t="inlineStr">
        <is>
          <t>GH Margin</t>
        </is>
      </c>
      <c r="E7" s="8" t="inlineStr">
        <is>
          <t>GH Share %</t>
        </is>
      </c>
    </row>
    <row r="8">
      <c r="A8" s="5" t="inlineStr">
        <is>
          <t>Gladys</t>
        </is>
      </c>
      <c r="B8" s="6" t="n">
        <v>14466025</v>
      </c>
      <c r="C8" s="6" t="n">
        <v>823383.6368</v>
      </c>
      <c r="D8" s="7" t="n">
        <v>0.05691844420288227</v>
      </c>
      <c r="E8" s="7" t="n">
        <v>0.4760202812062082</v>
      </c>
    </row>
    <row r="9">
      <c r="A9" s="5" t="inlineStr">
        <is>
          <t>Betha Odumo</t>
        </is>
      </c>
      <c r="B9" s="6" t="n">
        <v>5496625</v>
      </c>
      <c r="C9" s="6" t="n">
        <v>417230.1108</v>
      </c>
      <c r="D9" s="7" t="n">
        <v>0.07590659919496054</v>
      </c>
      <c r="E9" s="7" t="n">
        <v>0.1808724219808188</v>
      </c>
    </row>
    <row r="10">
      <c r="A10" s="5" t="inlineStr">
        <is>
          <t>Eliza</t>
        </is>
      </c>
      <c r="B10" s="6" t="n">
        <v>3868410</v>
      </c>
      <c r="C10" s="6" t="n">
        <v>348624.3584</v>
      </c>
      <c r="D10" s="7" t="n">
        <v>0.0901208399316515</v>
      </c>
      <c r="E10" s="7" t="n">
        <v>0.1272942370845417</v>
      </c>
    </row>
    <row r="11">
      <c r="A11" s="5" t="inlineStr">
        <is>
          <t>Stephen</t>
        </is>
      </c>
      <c r="B11" s="6" t="n">
        <v>2349756</v>
      </c>
      <c r="C11" s="6" t="n">
        <v>221425.0456</v>
      </c>
      <c r="D11" s="7" t="n">
        <v>0.09423320787349834</v>
      </c>
      <c r="E11" s="7" t="n">
        <v>0.07732127601645752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2" customWidth="1" min="3" max="3"/>
    <col width="12" customWidth="1" min="4" max="4"/>
    <col width="12" customWidth="1" min="5" max="5"/>
    <col width="80" customWidth="1" min="6" max="6"/>
  </cols>
  <sheetData>
    <row r="1">
      <c r="A1" s="4" t="inlineStr">
        <is>
          <t>Rep Name</t>
        </is>
      </c>
      <c r="B1" s="4" t="inlineStr">
        <is>
          <t>Role</t>
        </is>
      </c>
      <c r="C1" s="4" t="inlineStr">
        <is>
          <t>Sales Rank</t>
        </is>
      </c>
      <c r="D1" s="4" t="inlineStr">
        <is>
          <t>Margin Rank</t>
        </is>
      </c>
      <c r="E1" s="4" t="inlineStr">
        <is>
          <t>Week Growth</t>
        </is>
      </c>
      <c r="F1" s="4" t="inlineStr">
        <is>
          <t>Performance Notes</t>
        </is>
      </c>
    </row>
    <row r="2">
      <c r="A2" s="5" t="inlineStr">
        <is>
          <t>Gladys</t>
        </is>
      </c>
      <c r="B2" s="5" t="inlineStr">
        <is>
          <t>General Hardware Team</t>
        </is>
      </c>
      <c r="C2" s="5" t="n">
        <v>1</v>
      </c>
      <c r="D2" s="5" t="n">
        <v>7</v>
      </c>
      <c r="E2" s="5" t="inlineStr">
        <is>
          <t>+60.1%</t>
        </is>
      </c>
      <c r="F2" s="14" t="inlineStr">
        <is>
          <t>Outstanding! Sales 199% above team average | Margin at 5.9% below team average of 8.7% | Strong growth: Week 2 sales up 60.1% vs Week 1 | General Hardware: 47.6% of dept, 5.7% margin</t>
        </is>
      </c>
    </row>
    <row r="3">
      <c r="A3" s="5" t="inlineStr">
        <is>
          <t>Betha Odumo</t>
        </is>
      </c>
      <c r="B3" s="5" t="inlineStr">
        <is>
          <t>General Hardware Team</t>
        </is>
      </c>
      <c r="C3" s="5" t="n">
        <v>2</v>
      </c>
      <c r="D3" s="5" t="n">
        <v>6</v>
      </c>
      <c r="E3" s="5" t="inlineStr">
        <is>
          <t>+54.1%</t>
        </is>
      </c>
      <c r="F3" s="14" t="inlineStr">
        <is>
          <t>Sales 18% above team average - solid performance | Strong growth: Week 2 sales up 54.1% vs Week 1 | General Hardware: 18.1% of dept, 7.6% margin | ✓ Selling across all 4 categories - excellent product range</t>
        </is>
      </c>
    </row>
    <row r="4">
      <c r="A4" s="5" t="inlineStr">
        <is>
          <t>Eliza</t>
        </is>
      </c>
      <c r="B4" s="5" t="inlineStr">
        <is>
          <t>General Hardware Team</t>
        </is>
      </c>
      <c r="C4" s="5" t="n">
        <v>3</v>
      </c>
      <c r="D4" s="5" t="n">
        <v>4</v>
      </c>
      <c r="E4" s="5" t="inlineStr">
        <is>
          <t>+13.1%</t>
        </is>
      </c>
      <c r="F4" s="14" t="inlineStr">
        <is>
          <t>Sales 3% above team average - solid performance | General Hardware: 12.7% of dept, 9.0% margin | ✓ Selling across all 4 categories - excellent product range | Best margin in PLUMBING: 29.7%</t>
        </is>
      </c>
    </row>
    <row r="5">
      <c r="A5" s="5" t="inlineStr">
        <is>
          <t>Bonface Muriu</t>
        </is>
      </c>
      <c r="B5" s="5" t="inlineStr">
        <is>
          <t>Department Head - Paints</t>
        </is>
      </c>
      <c r="C5" s="5" t="n">
        <v>4</v>
      </c>
      <c r="D5" s="5" t="n">
        <v>2</v>
      </c>
      <c r="E5" s="5" t="inlineStr">
        <is>
          <t>-13.9%</t>
        </is>
      </c>
      <c r="F5" s="14" t="inlineStr">
        <is>
          <t>Sales 43% below team average - needs improvement | Excellent margin at 13.6% (Team avg: 8.7%) | Week 2 declined by 13.9% - review required | Paints Dept Head: 29.4% of dept sales, 18.3% margin</t>
        </is>
      </c>
    </row>
    <row r="6">
      <c r="A6" s="5" t="inlineStr">
        <is>
          <t>Stephen</t>
        </is>
      </c>
      <c r="B6" s="5" t="inlineStr">
        <is>
          <t>General Hardware Team</t>
        </is>
      </c>
      <c r="C6" s="5" t="n">
        <v>5</v>
      </c>
      <c r="D6" s="5" t="n">
        <v>5</v>
      </c>
      <c r="E6" s="5" t="inlineStr">
        <is>
          <t>+35.0%</t>
        </is>
      </c>
      <c r="F6" s="14" t="inlineStr">
        <is>
          <t>Sales 45% below team average - needs improvement | Strong growth: Week 2 sales up 35.0% vs Week 1 | General Hardware: 7.7% of dept, 9.4% margin | Consider expanding into ELECTRICALS</t>
        </is>
      </c>
    </row>
    <row r="7">
      <c r="A7" s="5" t="inlineStr">
        <is>
          <t>Lewis</t>
        </is>
      </c>
      <c r="B7" s="5" t="inlineStr">
        <is>
          <t>Department Head - Plumbing</t>
        </is>
      </c>
      <c r="C7" s="5" t="n">
        <v>6</v>
      </c>
      <c r="D7" s="5" t="n">
        <v>3</v>
      </c>
      <c r="E7" s="5" t="inlineStr">
        <is>
          <t>+46.3%</t>
        </is>
      </c>
      <c r="F7" s="14" t="inlineStr">
        <is>
          <t>Sales 58% below team average - needs improvement | Excellent margin at 12.6% (Team avg: 8.7%) | Strong growth: Week 2 sales up 46.3% vs Week 1 | Plumbing Dept Head: 37.4% of dept sales, 25.2% margin</t>
        </is>
      </c>
    </row>
    <row r="8">
      <c r="A8" s="5" t="inlineStr">
        <is>
          <t>Bonface Kitheka</t>
        </is>
      </c>
      <c r="B8" s="5" t="inlineStr">
        <is>
          <t>Department Head - Electricals</t>
        </is>
      </c>
      <c r="C8" s="5" t="n">
        <v>7</v>
      </c>
      <c r="D8" s="5" t="n">
        <v>1</v>
      </c>
      <c r="E8" s="5" t="inlineStr">
        <is>
          <t>+57.8%</t>
        </is>
      </c>
      <c r="F8" s="14" t="inlineStr">
        <is>
          <t>Sales 74% below team average - needs improvement | Excellent margin at 14.7% (Team avg: 8.7%) | Strong growth: Week 2 sales up 57.8% vs Week 1 | Electricals Dept Head: 55.2% of dept sales, 27.6% margin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2" customWidth="1" min="4" max="4"/>
    <col width="12" customWidth="1" min="5" max="5"/>
  </cols>
  <sheetData>
    <row r="1">
      <c r="A1" s="15" t="inlineStr">
        <is>
          <t>SALES REP CHARTS DATA</t>
        </is>
      </c>
    </row>
    <row r="3">
      <c r="A3" s="4" t="inlineStr">
        <is>
          <t>Rep Name</t>
        </is>
      </c>
      <c r="B3" s="4" t="inlineStr">
        <is>
          <t>Sales</t>
        </is>
      </c>
      <c r="C3" s="4" t="inlineStr">
        <is>
          <t>Profit</t>
        </is>
      </c>
      <c r="D3" s="4" t="inlineStr">
        <is>
          <t>Margin %</t>
        </is>
      </c>
      <c r="E3" s="4" t="inlineStr">
        <is>
          <t>Items Sold</t>
        </is>
      </c>
    </row>
    <row r="4">
      <c r="A4" s="5" t="inlineStr">
        <is>
          <t>Gladys</t>
        </is>
      </c>
      <c r="B4" s="6" t="n">
        <v>14647405</v>
      </c>
      <c r="C4" s="6" t="n">
        <v>858757.5351999999</v>
      </c>
      <c r="D4" s="7" t="n">
        <v>0.05862864686270366</v>
      </c>
      <c r="E4" s="5" t="n">
        <v>16404</v>
      </c>
    </row>
    <row r="5">
      <c r="A5" s="5" t="inlineStr">
        <is>
          <t>Betha Odumo</t>
        </is>
      </c>
      <c r="B5" s="6" t="n">
        <v>5804195</v>
      </c>
      <c r="C5" s="6" t="n">
        <v>480175.3184</v>
      </c>
      <c r="D5" s="7" t="n">
        <v>0.08272901210245348</v>
      </c>
      <c r="E5" s="5" t="n">
        <v>8248</v>
      </c>
    </row>
    <row r="6">
      <c r="A6" s="5" t="inlineStr">
        <is>
          <t>Eliza</t>
        </is>
      </c>
      <c r="B6" s="6" t="n">
        <v>5053055</v>
      </c>
      <c r="C6" s="6" t="n">
        <v>542997.1716</v>
      </c>
      <c r="D6" s="7" t="n">
        <v>0.1074591849089313</v>
      </c>
      <c r="E6" s="5" t="n">
        <v>6224</v>
      </c>
    </row>
    <row r="7">
      <c r="A7" s="5" t="inlineStr">
        <is>
          <t>Bonface Muriu</t>
        </is>
      </c>
      <c r="B7" s="6" t="n">
        <v>2791269</v>
      </c>
      <c r="C7" s="6" t="n">
        <v>379525.3548</v>
      </c>
      <c r="D7" s="7" t="n">
        <v>0.1359687492678061</v>
      </c>
      <c r="E7" s="5" t="n">
        <v>3620.5</v>
      </c>
    </row>
    <row r="8">
      <c r="A8" s="5" t="inlineStr">
        <is>
          <t>Stephen</t>
        </is>
      </c>
      <c r="B8" s="6" t="n">
        <v>2718386</v>
      </c>
      <c r="C8" s="6" t="n">
        <v>284494.0252</v>
      </c>
      <c r="D8" s="7" t="n">
        <v>0.1046554923399399</v>
      </c>
      <c r="E8" s="5" t="n">
        <v>3598.5</v>
      </c>
    </row>
    <row r="9">
      <c r="A9" s="5" t="inlineStr">
        <is>
          <t>Lewis</t>
        </is>
      </c>
      <c r="B9" s="6" t="n">
        <v>2063242</v>
      </c>
      <c r="C9" s="6" t="n">
        <v>259770.342</v>
      </c>
      <c r="D9" s="7" t="n">
        <v>0.1259039618231889</v>
      </c>
      <c r="E9" s="5" t="n">
        <v>3434</v>
      </c>
    </row>
    <row r="10">
      <c r="A10" s="5" t="inlineStr">
        <is>
          <t>Bonface Kitheka</t>
        </is>
      </c>
      <c r="B10" s="6" t="n">
        <v>1254800</v>
      </c>
      <c r="C10" s="6" t="n">
        <v>184970.526</v>
      </c>
      <c r="D10" s="7" t="n">
        <v>0.1474103649984061</v>
      </c>
      <c r="E10" s="5" t="n">
        <v>3566.25</v>
      </c>
    </row>
    <row r="15">
      <c r="A15" s="3" t="inlineStr">
        <is>
          <t>CATEGORY BREAKDOWN</t>
        </is>
      </c>
    </row>
    <row r="16">
      <c r="A16" s="11" t="inlineStr">
        <is>
          <t>Category</t>
        </is>
      </c>
      <c r="B16" s="11" t="inlineStr">
        <is>
          <t>Total Sales</t>
        </is>
      </c>
      <c r="C16" s="11" t="inlineStr">
        <is>
          <t>Total Profit</t>
        </is>
      </c>
    </row>
    <row r="17">
      <c r="A17" s="5" t="inlineStr">
        <is>
          <t>GENERAL HARDWARE</t>
        </is>
      </c>
      <c r="B17" s="6" t="n">
        <v>30389514</v>
      </c>
      <c r="C17" s="6" t="n">
        <v>2232553.9684</v>
      </c>
    </row>
    <row r="18">
      <c r="A18" s="5" t="inlineStr">
        <is>
          <t>PAINTS</t>
        </is>
      </c>
      <c r="B18" s="6" t="n">
        <v>2726426</v>
      </c>
      <c r="C18" s="6" t="n">
        <v>453382.4967999999</v>
      </c>
    </row>
    <row r="19">
      <c r="A19" s="5" t="inlineStr">
        <is>
          <t>PLUMBING</t>
        </is>
      </c>
      <c r="B19" s="6" t="n">
        <v>976486</v>
      </c>
      <c r="C19" s="6" t="n">
        <v>237777.67</v>
      </c>
    </row>
    <row r="20">
      <c r="A20" s="5" t="inlineStr">
        <is>
          <t>ELECTRICALS</t>
        </is>
      </c>
      <c r="B20" s="6" t="n">
        <v>239926</v>
      </c>
      <c r="C20" s="6" t="n">
        <v>66976.13799999999</v>
      </c>
    </row>
    <row r="35">
      <c r="A35" s="3" t="inlineStr">
        <is>
          <t>WEEK COMPARISON</t>
        </is>
      </c>
    </row>
    <row r="36">
      <c r="A36" s="8" t="inlineStr">
        <is>
          <t>Rep</t>
        </is>
      </c>
      <c r="B36" s="8" t="inlineStr">
        <is>
          <t>Week 1 Sales</t>
        </is>
      </c>
      <c r="C36" s="8" t="inlineStr">
        <is>
          <t>Week 2 Sales</t>
        </is>
      </c>
    </row>
    <row r="37">
      <c r="A37" s="5" t="inlineStr">
        <is>
          <t>Gladys</t>
        </is>
      </c>
      <c r="B37" s="6" t="n">
        <v>5631385</v>
      </c>
      <c r="C37" s="6" t="n">
        <v>9016020</v>
      </c>
    </row>
    <row r="38">
      <c r="A38" s="5" t="inlineStr">
        <is>
          <t>Betha Odumo</t>
        </is>
      </c>
      <c r="B38" s="6" t="n">
        <v>2284170</v>
      </c>
      <c r="C38" s="6" t="n">
        <v>3520025</v>
      </c>
    </row>
    <row r="39">
      <c r="A39" s="5" t="inlineStr">
        <is>
          <t>Eliza</t>
        </is>
      </c>
      <c r="B39" s="6" t="n">
        <v>2370660</v>
      </c>
      <c r="C39" s="6" t="n">
        <v>2682395</v>
      </c>
    </row>
    <row r="40">
      <c r="A40" s="5" t="inlineStr">
        <is>
          <t>Bonface Muriu</t>
        </is>
      </c>
      <c r="B40" s="6" t="n">
        <v>1499769</v>
      </c>
      <c r="C40" s="6" t="n">
        <v>1291500</v>
      </c>
    </row>
    <row r="41">
      <c r="A41" s="5" t="inlineStr">
        <is>
          <t>Stephen</t>
        </is>
      </c>
      <c r="B41" s="6" t="n">
        <v>1156911</v>
      </c>
      <c r="C41" s="6" t="n">
        <v>1561475</v>
      </c>
    </row>
    <row r="42">
      <c r="A42" s="5" t="inlineStr">
        <is>
          <t>Lewis</t>
        </is>
      </c>
      <c r="B42" s="6" t="n">
        <v>837537</v>
      </c>
      <c r="C42" s="6" t="n">
        <v>1225705</v>
      </c>
    </row>
    <row r="43">
      <c r="A43" s="5" t="inlineStr">
        <is>
          <t>Bonface Kitheka</t>
        </is>
      </c>
      <c r="B43" s="6" t="n">
        <v>486660</v>
      </c>
      <c r="C43" s="6" t="n">
        <v>768140</v>
      </c>
    </row>
    <row r="60">
      <c r="A60" s="3" t="inlineStr">
        <is>
          <t>PERFORMANCE RADAR DATA</t>
        </is>
      </c>
    </row>
    <row r="61">
      <c r="A61" s="12" t="inlineStr">
        <is>
          <t>Metric</t>
        </is>
      </c>
      <c r="B61" s="12" t="inlineStr">
        <is>
          <t>Gladys</t>
        </is>
      </c>
      <c r="C61" s="12" t="inlineStr">
        <is>
          <t>Betha Odumo</t>
        </is>
      </c>
      <c r="D61" s="12" t="inlineStr">
        <is>
          <t>Eliza</t>
        </is>
      </c>
      <c r="E61" s="12" t="inlineStr">
        <is>
          <t>Bonface Muriu</t>
        </is>
      </c>
      <c r="F61" s="12" t="inlineStr">
        <is>
          <t>Stephen</t>
        </is>
      </c>
      <c r="G61" s="12" t="inlineStr">
        <is>
          <t>Lewis</t>
        </is>
      </c>
      <c r="H61" s="12" t="inlineStr">
        <is>
          <t>Bonface Kitheka</t>
        </is>
      </c>
    </row>
    <row r="62">
      <c r="A62" s="5" t="inlineStr">
        <is>
          <t>Sales</t>
        </is>
      </c>
      <c r="B62" s="5" t="n">
        <v>100</v>
      </c>
      <c r="C62" s="5" t="n">
        <v>39.62609759203081</v>
      </c>
      <c r="D62" s="5" t="n">
        <v>34.49795373310153</v>
      </c>
      <c r="E62" s="5" t="n">
        <v>19.05640623714576</v>
      </c>
      <c r="F62" s="5" t="n">
        <v>18.55882321817414</v>
      </c>
      <c r="G62" s="5" t="n">
        <v>14.08605824717757</v>
      </c>
      <c r="H62" s="5" t="n">
        <v>8.566705160402133</v>
      </c>
    </row>
    <row r="63">
      <c r="A63" s="5" t="inlineStr">
        <is>
          <t>Profit</t>
        </is>
      </c>
      <c r="B63" s="5" t="n">
        <v>100</v>
      </c>
      <c r="C63" s="5" t="n">
        <v>55.91512140713499</v>
      </c>
      <c r="D63" s="5" t="n">
        <v>63.2305568618433</v>
      </c>
      <c r="E63" s="5" t="n">
        <v>44.19470447052446</v>
      </c>
      <c r="F63" s="5" t="n">
        <v>33.12856231692254</v>
      </c>
      <c r="G63" s="5" t="n">
        <v>30.24955605653007</v>
      </c>
      <c r="H63" s="5" t="n">
        <v>21.53931912305391</v>
      </c>
    </row>
    <row r="64">
      <c r="A64" s="5" t="inlineStr">
        <is>
          <t>Items Sold</t>
        </is>
      </c>
      <c r="B64" s="5" t="n">
        <v>100</v>
      </c>
      <c r="C64" s="5" t="n">
        <v>50.28041940990002</v>
      </c>
      <c r="D64" s="5" t="n">
        <v>37.94196537429895</v>
      </c>
      <c r="E64" s="5" t="n">
        <v>22.0708363813704</v>
      </c>
      <c r="F64" s="5" t="n">
        <v>21.93672275054865</v>
      </c>
      <c r="G64" s="5" t="n">
        <v>20.93391855644965</v>
      </c>
      <c r="H64" s="5" t="n">
        <v>21.74012435991222</v>
      </c>
    </row>
    <row r="65">
      <c r="A65" s="5" t="inlineStr">
        <is>
          <t>Margin</t>
        </is>
      </c>
      <c r="B65" s="5" t="n">
        <v>39.77240464965785</v>
      </c>
      <c r="C65" s="5" t="n">
        <v>56.12157062588373</v>
      </c>
      <c r="D65" s="5" t="n">
        <v>72.89798441927286</v>
      </c>
      <c r="E65" s="5" t="n">
        <v>92.23825561335279</v>
      </c>
      <c r="F65" s="5" t="n">
        <v>70.99602008384657</v>
      </c>
      <c r="G65" s="5" t="n">
        <v>85.41052172589785</v>
      </c>
      <c r="H65" s="5" t="n">
        <v>100</v>
      </c>
    </row>
    <row r="85">
      <c r="A85" s="3" t="inlineStr">
        <is>
          <t>SALES &amp; PROFIT TREND</t>
        </is>
      </c>
    </row>
    <row r="86">
      <c r="A86" s="4" t="inlineStr">
        <is>
          <t>Rep</t>
        </is>
      </c>
      <c r="B86" s="4" t="inlineStr">
        <is>
          <t>Sales (M)</t>
        </is>
      </c>
      <c r="C86" s="4" t="inlineStr">
        <is>
          <t>Profit (K)</t>
        </is>
      </c>
    </row>
    <row r="87">
      <c r="A87" s="5" t="inlineStr">
        <is>
          <t>Gladys</t>
        </is>
      </c>
      <c r="B87" s="5" t="n">
        <v>14.647405</v>
      </c>
      <c r="C87" s="5" t="n">
        <v>858.7575351999999</v>
      </c>
    </row>
    <row r="88">
      <c r="A88" s="5" t="inlineStr">
        <is>
          <t>Betha Odumo</t>
        </is>
      </c>
      <c r="B88" s="5" t="n">
        <v>5.804195</v>
      </c>
      <c r="C88" s="5" t="n">
        <v>480.1753184</v>
      </c>
    </row>
    <row r="89">
      <c r="A89" s="5" t="inlineStr">
        <is>
          <t>Eliza</t>
        </is>
      </c>
      <c r="B89" s="5" t="n">
        <v>5.053055</v>
      </c>
      <c r="C89" s="5" t="n">
        <v>542.9971716</v>
      </c>
    </row>
    <row r="90">
      <c r="A90" s="5" t="inlineStr">
        <is>
          <t>Bonface Muriu</t>
        </is>
      </c>
      <c r="B90" s="5" t="n">
        <v>2.791269</v>
      </c>
      <c r="C90" s="5" t="n">
        <v>379.5253547999999</v>
      </c>
    </row>
    <row r="91">
      <c r="A91" s="5" t="inlineStr">
        <is>
          <t>Stephen</t>
        </is>
      </c>
      <c r="B91" s="5" t="n">
        <v>2.718386</v>
      </c>
      <c r="C91" s="5" t="n">
        <v>284.4940252</v>
      </c>
    </row>
    <row r="92">
      <c r="A92" s="5" t="inlineStr">
        <is>
          <t>Lewis</t>
        </is>
      </c>
      <c r="B92" s="5" t="n">
        <v>2.063242</v>
      </c>
      <c r="C92" s="5" t="n">
        <v>259.770342</v>
      </c>
    </row>
    <row r="93">
      <c r="A93" s="5" t="inlineStr">
        <is>
          <t>Bonface Kitheka</t>
        </is>
      </c>
      <c r="B93" s="5" t="n">
        <v>1.2548</v>
      </c>
      <c r="C93" s="5" t="n">
        <v>184.970526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2026-02-16T12:07:16Z</dcterms:created>
  <dcterms:modified xmlns:dcterms="http://purl.org/dc/terms/" xmlns:xsi="http://www.w3.org/2001/XMLSchema-instance" xsi:type="dcterms:W3CDTF">2026-02-16T12:07:16Z</dcterms:modified>
</cp:coreProperties>
</file>