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 Performance" sheetId="2" state="visible" r:id="rId2"/>
    <sheet xmlns:r="http://schemas.openxmlformats.org/officeDocument/2006/relationships" name="Category Breakdown" sheetId="3" state="visible" r:id="rId3"/>
    <sheet xmlns:r="http://schemas.openxmlformats.org/officeDocument/2006/relationships" name="Department Heads" sheetId="4" state="visible" r:id="rId4"/>
    <sheet xmlns:r="http://schemas.openxmlformats.org/officeDocument/2006/relationships" name="Performance Notes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0" fontId="4" fillId="2" borderId="1" applyAlignment="1" pivotButton="0" quotePrefix="0" xfId="0">
      <alignment horizontal="center"/>
    </xf>
    <xf numFmtId="165" fontId="0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5" fillId="0" borderId="0" pivotButton="0" quotePrefix="0" xfId="0"/>
    <xf numFmtId="0" fontId="0" fillId="0" borderId="1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'Charts'!$A$4:$A$10</f>
            </numRef>
          </cat>
          <val>
            <numRef>
              <f>'Charts'!$B$4:$B$10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(KES)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Rep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'Charts'!$A$4:$A$10</f>
            </numRef>
          </cat>
          <val>
            <numRef>
              <f>'Charts'!$C$4:$C$10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(KES)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Margin by Rep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'Charts'!$A$4:$A$10</f>
            </numRef>
          </cat>
          <val>
            <numRef>
              <f>'Charts'!$D$4:$D$10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'Charts'!B16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'Charts'!$A$17:$A$20</f>
            </numRef>
          </cat>
          <val>
            <numRef>
              <f>'Charts'!$B$17:$B$20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 1 vs Week 2 vs Week 3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'Charts'!$A$37:$A$43</f>
            </numRef>
          </cat>
          <val>
            <numRef>
              <f>'Charts'!$B$37:$B$43</f>
            </numRef>
          </val>
        </ser>
        <ser>
          <idx val="1"/>
          <order val="1"/>
          <tx>
            <strRef>
              <f>'Charts'!C36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'Charts'!$A$37:$A$43</f>
            </numRef>
          </cat>
          <val>
            <numRef>
              <f>'Charts'!$C$37:$C$43</f>
            </numRef>
          </val>
        </ser>
        <ser>
          <idx val="2"/>
          <order val="2"/>
          <tx>
            <strRef>
              <f>'Charts'!D36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'Charts'!$A$37:$A$43</f>
            </numRef>
          </cat>
          <val>
            <numRef>
              <f>'Charts'!$D$37:$D$43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(KES)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 Radar - All Reps</a:t>
            </a:r>
          </a:p>
        </rich>
      </tx>
    </title>
    <plotArea>
      <radarChart>
        <radarStyle val="filled"/>
        <ser>
          <idx val="0"/>
          <order val="0"/>
          <tx>
            <strRef>
              <f>'Charts'!B61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'Charts'!$A$62:$A$65</f>
            </numRef>
          </cat>
          <val>
            <numRef>
              <f>'Charts'!$B$62:$B$65</f>
            </numRef>
          </val>
        </ser>
        <ser>
          <idx val="1"/>
          <order val="1"/>
          <tx>
            <strRef>
              <f>'Charts'!C61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'Charts'!$A$62:$A$65</f>
            </numRef>
          </cat>
          <val>
            <numRef>
              <f>'Charts'!$C$62:$C$65</f>
            </numRef>
          </val>
        </ser>
        <ser>
          <idx val="2"/>
          <order val="2"/>
          <tx>
            <strRef>
              <f>'Charts'!D61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'Charts'!$A$62:$A$65</f>
            </numRef>
          </cat>
          <val>
            <numRef>
              <f>'Charts'!$D$62:$D$65</f>
            </numRef>
          </val>
        </ser>
        <ser>
          <idx val="3"/>
          <order val="3"/>
          <tx>
            <strRef>
              <f>'Charts'!E61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'Charts'!$A$62:$A$65</f>
            </numRef>
          </cat>
          <val>
            <numRef>
              <f>'Charts'!$E$62:$E$65</f>
            </numRef>
          </val>
        </ser>
        <ser>
          <idx val="4"/>
          <order val="4"/>
          <tx>
            <strRef>
              <f>'Charts'!F61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'Charts'!$A$62:$A$65</f>
            </numRef>
          </cat>
          <val>
            <numRef>
              <f>'Charts'!$F$62:$F$65</f>
            </numRef>
          </val>
        </ser>
        <ser>
          <idx val="5"/>
          <order val="5"/>
          <tx>
            <strRef>
              <f>'Charts'!G61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'Charts'!$A$62:$A$65</f>
            </numRef>
          </cat>
          <val>
            <numRef>
              <f>'Charts'!$G$62:$G$65</f>
            </numRef>
          </val>
        </ser>
        <ser>
          <idx val="6"/>
          <order val="6"/>
          <tx>
            <strRef>
              <f>'Charts'!H61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'Charts'!$A$62:$A$65</f>
            </numRef>
          </cat>
          <val>
            <numRef>
              <f>'Charts'!$H$62:$H$65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'Charts'!$A$87:$A$93</f>
            </numRef>
          </cat>
          <val>
            <numRef>
              <f>'Charts'!$B$87:$B$93</f>
            </numRef>
          </val>
        </ser>
        <ser>
          <idx val="1"/>
          <order val="1"/>
          <tx>
            <strRef>
              <f>'Charts'!C86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'Charts'!$A$87:$A$93</f>
            </numRef>
          </cat>
          <val>
            <numRef>
              <f>'Charts'!$C$87:$C$93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 (by Sales Rank)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21</row>
      <rowOff>0</rowOff>
    </from>
    <ext cx="432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46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67</row>
      <rowOff>0</rowOff>
    </from>
    <ext cx="648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96</row>
      <rowOff>0</rowOff>
    </from>
    <ext cx="648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SALES REP PERFORMANCE ANALYSIS</t>
        </is>
      </c>
    </row>
    <row r="2">
      <c r="A2" s="2" t="inlineStr">
        <is>
          <t>BOMAS  - February 1-21, 2026</t>
        </is>
      </c>
    </row>
    <row r="3">
      <c r="A3" t="inlineStr">
        <is>
          <t>Generated: 2026-02-24 22:58:13</t>
        </is>
      </c>
    </row>
    <row r="5">
      <c r="A5" s="3" t="inlineStr">
        <is>
          <t>OVERALL METRICS</t>
        </is>
      </c>
    </row>
    <row r="6">
      <c r="A6" s="4" t="inlineStr">
        <is>
          <t>Metric</t>
        </is>
      </c>
      <c r="B6" s="4" t="inlineStr">
        <is>
          <t>Value</t>
        </is>
      </c>
    </row>
    <row r="7">
      <c r="A7" s="5" t="inlineStr">
        <is>
          <t>Total Sales</t>
        </is>
      </c>
      <c r="B7" s="6" t="n">
        <v>49669737</v>
      </c>
    </row>
    <row r="8">
      <c r="A8" s="5" t="inlineStr">
        <is>
          <t>Total Profit</t>
        </is>
      </c>
      <c r="B8" s="6" t="n">
        <v>4345944.0136</v>
      </c>
    </row>
    <row r="9">
      <c r="A9" s="5" t="inlineStr">
        <is>
          <t>Overall Margin</t>
        </is>
      </c>
      <c r="B9" s="7" t="n">
        <v>0.08749681951406346</v>
      </c>
    </row>
    <row r="10">
      <c r="A10" s="5" t="inlineStr">
        <is>
          <t>Daily Average (18 days)</t>
        </is>
      </c>
      <c r="B10" s="6" t="n">
        <v>2759429.833333333</v>
      </c>
    </row>
    <row r="11">
      <c r="A11" s="5" t="inlineStr">
        <is>
          <t>Total Reps</t>
        </is>
      </c>
      <c r="B11" s="5" t="n">
        <v>7</v>
      </c>
    </row>
    <row r="14">
      <c r="A14" s="3" t="inlineStr">
        <is>
          <t>WEEK COMPARISON</t>
        </is>
      </c>
    </row>
    <row r="15">
      <c r="A15" s="8" t="inlineStr">
        <is>
          <t>Week</t>
        </is>
      </c>
      <c r="B15" s="8" t="inlineStr">
        <is>
          <t>Sales</t>
        </is>
      </c>
      <c r="C15" s="8" t="inlineStr">
        <is>
          <t>Profit</t>
        </is>
      </c>
      <c r="D15" s="8" t="inlineStr">
        <is>
          <t>Margin</t>
        </is>
      </c>
      <c r="E15" s="8" t="inlineStr">
        <is>
          <t>Daily Avg</t>
        </is>
      </c>
    </row>
    <row r="16">
      <c r="A16" s="5" t="inlineStr">
        <is>
          <t>Week 1 (Feb 1-7)</t>
        </is>
      </c>
      <c r="B16" s="6" t="n">
        <v>14267092</v>
      </c>
      <c r="C16" s="6" t="n">
        <v>1352772.164</v>
      </c>
      <c r="D16" s="7" t="n">
        <v>0.09481765197841296</v>
      </c>
      <c r="E16" s="6" t="n">
        <v>2377848.666666667</v>
      </c>
    </row>
    <row r="17">
      <c r="A17" s="5" t="inlineStr">
        <is>
          <t>Week 2 (Feb 9-14)</t>
        </is>
      </c>
      <c r="B17" s="6" t="n">
        <v>20065260</v>
      </c>
      <c r="C17" s="6" t="n">
        <v>1637918.1092</v>
      </c>
      <c r="D17" s="7" t="n">
        <v>0.08162954824407956</v>
      </c>
      <c r="E17" s="6" t="n">
        <v>3344210</v>
      </c>
    </row>
    <row r="18">
      <c r="A18" s="5" t="inlineStr">
        <is>
          <t>Week 3 (Feb 16-21)</t>
        </is>
      </c>
      <c r="B18" s="6" t="n">
        <v>15337385</v>
      </c>
      <c r="C18" s="6" t="n">
        <v>1355253.7404</v>
      </c>
      <c r="D18" s="7" t="n">
        <v>0.08836276460426597</v>
      </c>
      <c r="E18" s="6" t="n">
        <v>2556230.833333333</v>
      </c>
    </row>
    <row r="19">
      <c r="A19" s="5" t="inlineStr">
        <is>
          <t>W1→W2 Change</t>
        </is>
      </c>
      <c r="B19" s="6" t="n">
        <v>5798168</v>
      </c>
      <c r="C19" s="6" t="n">
        <v>285145.9452</v>
      </c>
      <c r="D19" s="7" t="n">
        <v>-0.01318810373433341</v>
      </c>
      <c r="E19" s="6" t="n">
        <v>966361.3333333334</v>
      </c>
    </row>
    <row r="20">
      <c r="A20" s="5" t="inlineStr">
        <is>
          <t>W2→W3 Change</t>
        </is>
      </c>
      <c r="B20" s="6" t="n">
        <v>-4727875</v>
      </c>
      <c r="C20" s="6" t="n">
        <v>-282664.3688000001</v>
      </c>
      <c r="D20" s="7" t="n">
        <v>0.006733216360186409</v>
      </c>
      <c r="E20" s="6" t="n">
        <v>-787979.1666666666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9" t="inlineStr">
        <is>
          <t>Rank</t>
        </is>
      </c>
      <c r="B1" s="9" t="inlineStr">
        <is>
          <t>Rep Name</t>
        </is>
      </c>
      <c r="C1" s="9" t="inlineStr">
        <is>
          <t>Role</t>
        </is>
      </c>
      <c r="D1" s="9" t="inlineStr">
        <is>
          <t>Total Sales</t>
        </is>
      </c>
      <c r="E1" s="9" t="inlineStr">
        <is>
          <t>Total Profit</t>
        </is>
      </c>
      <c r="F1" s="9" t="inlineStr">
        <is>
          <t>Margin %</t>
        </is>
      </c>
      <c r="G1" s="9" t="inlineStr">
        <is>
          <t>Items Sold</t>
        </is>
      </c>
      <c r="H1" s="9" t="inlineStr">
        <is>
          <t>Margin Rank</t>
        </is>
      </c>
      <c r="I1" s="9" t="inlineStr">
        <is>
          <t>Week Improvement %</t>
        </is>
      </c>
    </row>
    <row r="2">
      <c r="A2" s="5" t="n">
        <v>1</v>
      </c>
      <c r="B2" s="5" t="inlineStr">
        <is>
          <t>Gladys</t>
        </is>
      </c>
      <c r="C2" s="5" t="inlineStr">
        <is>
          <t>General Hardware Team</t>
        </is>
      </c>
      <c r="D2" s="6" t="n">
        <v>19339020</v>
      </c>
      <c r="E2" s="6" t="n">
        <v>1149098.9116</v>
      </c>
      <c r="F2" s="7" t="n">
        <v>0.0594186733143665</v>
      </c>
      <c r="G2" s="10" t="n">
        <v>22606</v>
      </c>
      <c r="H2" s="5" t="n">
        <v>7</v>
      </c>
      <c r="I2" s="7" t="n">
        <v>-0.1668807939787459</v>
      </c>
    </row>
    <row r="3">
      <c r="A3" s="5" t="n">
        <v>2</v>
      </c>
      <c r="B3" s="5" t="inlineStr">
        <is>
          <t>Betha Odumo</t>
        </is>
      </c>
      <c r="C3" s="5" t="inlineStr">
        <is>
          <t>General Hardware Team</t>
        </is>
      </c>
      <c r="D3" s="6" t="n">
        <v>9453025</v>
      </c>
      <c r="E3" s="6" t="n">
        <v>763497.9292</v>
      </c>
      <c r="F3" s="7" t="n">
        <v>0.08076757748974535</v>
      </c>
      <c r="G3" s="10" t="n">
        <v>12927</v>
      </c>
      <c r="H3" s="5" t="n">
        <v>6</v>
      </c>
      <c r="I3" s="7" t="n">
        <v>0.5974423970194863</v>
      </c>
    </row>
    <row r="4">
      <c r="A4" s="5" t="n">
        <v>3</v>
      </c>
      <c r="B4" s="5" t="inlineStr">
        <is>
          <t>Eliza</t>
        </is>
      </c>
      <c r="C4" s="5" t="inlineStr">
        <is>
          <t>General Hardware Team</t>
        </is>
      </c>
      <c r="D4" s="6" t="n">
        <v>8456260</v>
      </c>
      <c r="E4" s="6" t="n">
        <v>842095.0399999998</v>
      </c>
      <c r="F4" s="7" t="n">
        <v>0.09958244424840293</v>
      </c>
      <c r="G4" s="10" t="n">
        <v>10636</v>
      </c>
      <c r="H4" s="5" t="n">
        <v>5</v>
      </c>
      <c r="I4" s="7" t="n">
        <v>0.4355517029013017</v>
      </c>
    </row>
    <row r="5">
      <c r="A5" s="5" t="n">
        <v>4</v>
      </c>
      <c r="B5" s="5" t="inlineStr">
        <is>
          <t>Stephen</t>
        </is>
      </c>
      <c r="C5" s="5" t="inlineStr">
        <is>
          <t>General Hardware Team</t>
        </is>
      </c>
      <c r="D5" s="6" t="n">
        <v>4067316</v>
      </c>
      <c r="E5" s="6" t="n">
        <v>414348.7984</v>
      </c>
      <c r="F5" s="7" t="n">
        <v>0.1018727825425907</v>
      </c>
      <c r="G5" s="10" t="n">
        <v>5683</v>
      </c>
      <c r="H5" s="5" t="n">
        <v>4</v>
      </c>
      <c r="I5" s="7" t="n">
        <v>0.165975602271912</v>
      </c>
    </row>
    <row r="6">
      <c r="A6" s="5" t="n">
        <v>5</v>
      </c>
      <c r="B6" s="5" t="inlineStr">
        <is>
          <t>Bonface Muriu</t>
        </is>
      </c>
      <c r="C6" s="5" t="inlineStr">
        <is>
          <t>Department Head - Paints</t>
        </is>
      </c>
      <c r="D6" s="6" t="n">
        <v>3948909</v>
      </c>
      <c r="E6" s="6" t="n">
        <v>550481.6655999999</v>
      </c>
      <c r="F6" s="7" t="n">
        <v>0.1394009498826131</v>
      </c>
      <c r="G6" s="10" t="n">
        <v>4888</v>
      </c>
      <c r="H6" s="5" t="n">
        <v>3</v>
      </c>
      <c r="I6" s="7" t="n">
        <v>-0.2281211306541207</v>
      </c>
    </row>
    <row r="7">
      <c r="A7" s="5" t="n">
        <v>6</v>
      </c>
      <c r="B7" s="5" t="inlineStr">
        <is>
          <t>Lewis</t>
        </is>
      </c>
      <c r="C7" s="5" t="inlineStr">
        <is>
          <t>Department Head - Plumbing</t>
        </is>
      </c>
      <c r="D7" s="6" t="n">
        <v>2614482</v>
      </c>
      <c r="E7" s="6" t="n">
        <v>373745.8752</v>
      </c>
      <c r="F7" s="7" t="n">
        <v>0.1429521699518298</v>
      </c>
      <c r="G7" s="10" t="n">
        <v>4791</v>
      </c>
      <c r="H7" s="5" t="n">
        <v>1</v>
      </c>
      <c r="I7" s="7" t="n">
        <v>-0.3418320623447084</v>
      </c>
    </row>
    <row r="8">
      <c r="A8" s="5" t="n">
        <v>7</v>
      </c>
      <c r="B8" s="5" t="inlineStr">
        <is>
          <t>Bonface Kitheka</t>
        </is>
      </c>
      <c r="C8" s="5" t="inlineStr">
        <is>
          <t>Department Head - Electricals</t>
        </is>
      </c>
      <c r="D8" s="6" t="n">
        <v>1790725</v>
      </c>
      <c r="E8" s="6" t="n">
        <v>252675.7936</v>
      </c>
      <c r="F8" s="7" t="n">
        <v>0.1411025107707772</v>
      </c>
      <c r="G8" s="10" t="n">
        <v>4982.25</v>
      </c>
      <c r="H8" s="5" t="n">
        <v>2</v>
      </c>
      <c r="I8" s="7" t="n">
        <v>0.1012308387786134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2" customWidth="1" min="5" max="5"/>
    <col width="10" customWidth="1" min="6" max="6"/>
  </cols>
  <sheetData>
    <row r="1">
      <c r="A1" s="11" t="inlineStr">
        <is>
          <t>Rep Name</t>
        </is>
      </c>
      <c r="B1" s="11" t="inlineStr">
        <is>
          <t>Category</t>
        </is>
      </c>
      <c r="C1" s="11" t="inlineStr">
        <is>
          <t>Sales</t>
        </is>
      </c>
      <c r="D1" s="11" t="inlineStr">
        <is>
          <t>Profit</t>
        </is>
      </c>
      <c r="E1" s="11" t="inlineStr">
        <is>
          <t>Margin %</t>
        </is>
      </c>
      <c r="F1" s="11" t="inlineStr">
        <is>
          <t>Qty</t>
        </is>
      </c>
    </row>
    <row r="2">
      <c r="A2" s="5" t="inlineStr">
        <is>
          <t>Gladys</t>
        </is>
      </c>
      <c r="B2" s="5" t="inlineStr">
        <is>
          <t>GENERAL HARDWARE</t>
        </is>
      </c>
      <c r="C2" s="6" t="n">
        <v>19080190</v>
      </c>
      <c r="D2" s="6" t="n">
        <v>1096127.3724</v>
      </c>
      <c r="E2" s="7" t="n">
        <v>0.05744845163491559</v>
      </c>
      <c r="F2" s="10" t="n">
        <v>22251</v>
      </c>
    </row>
    <row r="3">
      <c r="A3" s="5" t="inlineStr">
        <is>
          <t>Gladys</t>
        </is>
      </c>
      <c r="B3" s="5" t="inlineStr">
        <is>
          <t>PAINTS</t>
        </is>
      </c>
      <c r="C3" s="6" t="n">
        <v>155440</v>
      </c>
      <c r="D3" s="6" t="n">
        <v>24733.3112</v>
      </c>
      <c r="E3" s="7" t="n">
        <v>0.1591180597014925</v>
      </c>
      <c r="F3" s="10" t="n">
        <v>114</v>
      </c>
    </row>
    <row r="4">
      <c r="A4" s="5" t="inlineStr">
        <is>
          <t>Gladys</t>
        </is>
      </c>
      <c r="B4" s="5" t="inlineStr">
        <is>
          <t>PLUMBING</t>
        </is>
      </c>
      <c r="C4" s="6" t="n">
        <v>102600</v>
      </c>
      <c r="D4" s="6" t="n">
        <v>27921.0724</v>
      </c>
      <c r="E4" s="7" t="n">
        <v>0.2721352085769981</v>
      </c>
      <c r="F4" s="10" t="n">
        <v>234</v>
      </c>
    </row>
    <row r="5">
      <c r="A5" s="5" t="inlineStr">
        <is>
          <t>Gladys</t>
        </is>
      </c>
      <c r="B5" s="5" t="inlineStr">
        <is>
          <t>ELECTRICALS</t>
        </is>
      </c>
      <c r="C5" s="6" t="n">
        <v>790</v>
      </c>
      <c r="D5" s="6" t="n">
        <v>317.1556</v>
      </c>
      <c r="E5" s="7" t="n">
        <v>0.4014627848101266</v>
      </c>
      <c r="F5" s="10" t="n">
        <v>7</v>
      </c>
    </row>
    <row r="6">
      <c r="A6" s="5" t="inlineStr">
        <is>
          <t>Betha Odumo</t>
        </is>
      </c>
      <c r="B6" s="5" t="inlineStr">
        <is>
          <t>GENERAL HARDWARE</t>
        </is>
      </c>
      <c r="C6" s="6" t="n">
        <v>8967025</v>
      </c>
      <c r="D6" s="6" t="n">
        <v>664793.564</v>
      </c>
      <c r="E6" s="7" t="n">
        <v>0.07413758342371077</v>
      </c>
      <c r="F6" s="10" t="n">
        <v>12044</v>
      </c>
    </row>
    <row r="7">
      <c r="A7" s="5" t="inlineStr">
        <is>
          <t>Betha Odumo</t>
        </is>
      </c>
      <c r="B7" s="5" t="inlineStr">
        <is>
          <t>PAINTS</t>
        </is>
      </c>
      <c r="C7" s="6" t="n">
        <v>395960</v>
      </c>
      <c r="D7" s="6" t="n">
        <v>72158.47279999999</v>
      </c>
      <c r="E7" s="7" t="n">
        <v>0.1822367734114557</v>
      </c>
      <c r="F7" s="10" t="n">
        <v>452</v>
      </c>
    </row>
    <row r="8">
      <c r="A8" s="5" t="inlineStr">
        <is>
          <t>Betha Odumo</t>
        </is>
      </c>
      <c r="B8" s="5" t="inlineStr">
        <is>
          <t>PLUMBING</t>
        </is>
      </c>
      <c r="C8" s="6" t="n">
        <v>73580</v>
      </c>
      <c r="D8" s="6" t="n">
        <v>21365.6688</v>
      </c>
      <c r="E8" s="7" t="n">
        <v>0.2903733188366404</v>
      </c>
      <c r="F8" s="10" t="n">
        <v>279</v>
      </c>
    </row>
    <row r="9">
      <c r="A9" s="5" t="inlineStr">
        <is>
          <t>Betha Odumo</t>
        </is>
      </c>
      <c r="B9" s="5" t="inlineStr">
        <is>
          <t>ELECTRICALS</t>
        </is>
      </c>
      <c r="C9" s="6" t="n">
        <v>16460</v>
      </c>
      <c r="D9" s="6" t="n">
        <v>5180.223599999999</v>
      </c>
      <c r="E9" s="7" t="n">
        <v>0.314715893074119</v>
      </c>
      <c r="F9" s="10" t="n">
        <v>152</v>
      </c>
    </row>
    <row r="10">
      <c r="A10" s="5" t="inlineStr">
        <is>
          <t>Eliza</t>
        </is>
      </c>
      <c r="B10" s="5" t="inlineStr">
        <is>
          <t>GENERAL HARDWARE</t>
        </is>
      </c>
      <c r="C10" s="6" t="n">
        <v>6742565</v>
      </c>
      <c r="D10" s="6" t="n">
        <v>549397.5759999999</v>
      </c>
      <c r="E10" s="7" t="n">
        <v>0.08148198437834858</v>
      </c>
      <c r="F10" s="10" t="n">
        <v>8376</v>
      </c>
    </row>
    <row r="11">
      <c r="A11" s="5" t="inlineStr">
        <is>
          <t>Eliza</t>
        </is>
      </c>
      <c r="B11" s="5" t="inlineStr">
        <is>
          <t>PAINTS</t>
        </is>
      </c>
      <c r="C11" s="6" t="n">
        <v>1483420</v>
      </c>
      <c r="D11" s="6" t="n">
        <v>222537.9844</v>
      </c>
      <c r="E11" s="7" t="n">
        <v>0.1500168424316781</v>
      </c>
      <c r="F11" s="10" t="n">
        <v>1236</v>
      </c>
    </row>
    <row r="12">
      <c r="A12" s="5" t="inlineStr">
        <is>
          <t>Eliza</t>
        </is>
      </c>
      <c r="B12" s="5" t="inlineStr">
        <is>
          <t>PLUMBING</t>
        </is>
      </c>
      <c r="C12" s="6" t="n">
        <v>180225</v>
      </c>
      <c r="D12" s="6" t="n">
        <v>58666.2228</v>
      </c>
      <c r="E12" s="7" t="n">
        <v>0.3255165642946317</v>
      </c>
      <c r="F12" s="10" t="n">
        <v>624</v>
      </c>
    </row>
    <row r="13">
      <c r="A13" s="5" t="inlineStr">
        <is>
          <t>Eliza</t>
        </is>
      </c>
      <c r="B13" s="5" t="inlineStr">
        <is>
          <t>ELECTRICALS</t>
        </is>
      </c>
      <c r="C13" s="6" t="n">
        <v>50050</v>
      </c>
      <c r="D13" s="6" t="n">
        <v>11493.2568</v>
      </c>
      <c r="E13" s="7" t="n">
        <v>0.2296355004995005</v>
      </c>
      <c r="F13" s="10" t="n">
        <v>400</v>
      </c>
    </row>
    <row r="14">
      <c r="A14" s="5" t="inlineStr">
        <is>
          <t>Stephen</t>
        </is>
      </c>
      <c r="B14" s="5" t="inlineStr">
        <is>
          <t>GENERAL HARDWARE</t>
        </is>
      </c>
      <c r="C14" s="6" t="n">
        <v>3589596</v>
      </c>
      <c r="D14" s="6" t="n">
        <v>331181.7516</v>
      </c>
      <c r="E14" s="7" t="n">
        <v>0.09226156692842313</v>
      </c>
      <c r="F14" s="10" t="n">
        <v>5318</v>
      </c>
    </row>
    <row r="15">
      <c r="A15" s="5" t="inlineStr">
        <is>
          <t>Stephen</t>
        </is>
      </c>
      <c r="B15" s="5" t="inlineStr">
        <is>
          <t>PAINTS</t>
        </is>
      </c>
      <c r="C15" s="6" t="n">
        <v>266000</v>
      </c>
      <c r="D15" s="6" t="n">
        <v>48733.0732</v>
      </c>
      <c r="E15" s="7" t="n">
        <v>0.1832070421052631</v>
      </c>
      <c r="F15" s="10" t="n">
        <v>265</v>
      </c>
    </row>
    <row r="16">
      <c r="A16" s="5" t="inlineStr">
        <is>
          <t>Stephen</t>
        </is>
      </c>
      <c r="B16" s="5" t="inlineStr">
        <is>
          <t>PLUMBING</t>
        </is>
      </c>
      <c r="C16" s="6" t="n">
        <v>211720</v>
      </c>
      <c r="D16" s="6" t="n">
        <v>34433.9736</v>
      </c>
      <c r="E16" s="7" t="n">
        <v>0.1626392102777253</v>
      </c>
      <c r="F16" s="10" t="n">
        <v>100</v>
      </c>
    </row>
    <row r="17">
      <c r="A17" s="5" t="inlineStr">
        <is>
          <t>Bonface Muriu</t>
        </is>
      </c>
      <c r="B17" s="5" t="inlineStr">
        <is>
          <t>GENERAL HARDWARE</t>
        </is>
      </c>
      <c r="C17" s="6" t="n">
        <v>2295609</v>
      </c>
      <c r="D17" s="6" t="n">
        <v>246116.3416</v>
      </c>
      <c r="E17" s="7" t="n">
        <v>0.1072117863277239</v>
      </c>
      <c r="F17" s="10" t="n">
        <v>3273</v>
      </c>
    </row>
    <row r="18">
      <c r="A18" s="5" t="inlineStr">
        <is>
          <t>Bonface Muriu</t>
        </is>
      </c>
      <c r="B18" s="5" t="inlineStr">
        <is>
          <t>PAINTS</t>
        </is>
      </c>
      <c r="C18" s="6" t="n">
        <v>1535360</v>
      </c>
      <c r="D18" s="6" t="n">
        <v>268263.688</v>
      </c>
      <c r="E18" s="7" t="n">
        <v>0.1747236400583576</v>
      </c>
      <c r="F18" s="10" t="n">
        <v>1291</v>
      </c>
    </row>
    <row r="19">
      <c r="A19" s="5" t="inlineStr">
        <is>
          <t>Bonface Muriu</t>
        </is>
      </c>
      <c r="B19" s="5" t="inlineStr">
        <is>
          <t>PLUMBING</t>
        </is>
      </c>
      <c r="C19" s="6" t="n">
        <v>90750</v>
      </c>
      <c r="D19" s="6" t="n">
        <v>23658.1768</v>
      </c>
      <c r="E19" s="7" t="n">
        <v>0.2606961630853994</v>
      </c>
      <c r="F19" s="10" t="n">
        <v>218</v>
      </c>
    </row>
    <row r="20">
      <c r="A20" s="5" t="inlineStr">
        <is>
          <t>Bonface Muriu</t>
        </is>
      </c>
      <c r="B20" s="5" t="inlineStr">
        <is>
          <t>ELECTRICALS</t>
        </is>
      </c>
      <c r="C20" s="6" t="n">
        <v>27190</v>
      </c>
      <c r="D20" s="6" t="n">
        <v>12443.4592</v>
      </c>
      <c r="E20" s="7" t="n">
        <v>0.4576483707245311</v>
      </c>
      <c r="F20" s="10" t="n">
        <v>106</v>
      </c>
    </row>
    <row r="21">
      <c r="A21" s="5" t="inlineStr">
        <is>
          <t>Lewis</t>
        </is>
      </c>
      <c r="B21" s="5" t="inlineStr">
        <is>
          <t>GENERAL HARDWARE</t>
        </is>
      </c>
      <c r="C21" s="6" t="n">
        <v>1796987</v>
      </c>
      <c r="D21" s="6" t="n">
        <v>171439.7524</v>
      </c>
      <c r="E21" s="7" t="n">
        <v>0.09540400258877776</v>
      </c>
      <c r="F21" s="10" t="n">
        <v>2485</v>
      </c>
    </row>
    <row r="22">
      <c r="A22" s="5" t="inlineStr">
        <is>
          <t>Lewis</t>
        </is>
      </c>
      <c r="B22" s="5" t="inlineStr">
        <is>
          <t>PAINTS</t>
        </is>
      </c>
      <c r="C22" s="6" t="n">
        <v>155000</v>
      </c>
      <c r="D22" s="6" t="n">
        <v>35623.542</v>
      </c>
      <c r="E22" s="7" t="n">
        <v>0.2298293032258065</v>
      </c>
      <c r="F22" s="10" t="n">
        <v>230</v>
      </c>
    </row>
    <row r="23">
      <c r="A23" s="5" t="inlineStr">
        <is>
          <t>Lewis</t>
        </is>
      </c>
      <c r="B23" s="5" t="inlineStr">
        <is>
          <t>PLUMBING</t>
        </is>
      </c>
      <c r="C23" s="6" t="n">
        <v>619610</v>
      </c>
      <c r="D23" s="6" t="n">
        <v>158458.4128</v>
      </c>
      <c r="E23" s="7" t="n">
        <v>0.2557389532125046</v>
      </c>
      <c r="F23" s="10" t="n">
        <v>1902</v>
      </c>
    </row>
    <row r="24">
      <c r="A24" s="5" t="inlineStr">
        <is>
          <t>Lewis</t>
        </is>
      </c>
      <c r="B24" s="5" t="inlineStr">
        <is>
          <t>ELECTRICALS</t>
        </is>
      </c>
      <c r="C24" s="6" t="n">
        <v>42885</v>
      </c>
      <c r="D24" s="6" t="n">
        <v>8224.168</v>
      </c>
      <c r="E24" s="7" t="n">
        <v>0.1917726011425906</v>
      </c>
      <c r="F24" s="10" t="n">
        <v>174</v>
      </c>
    </row>
    <row r="25">
      <c r="A25" s="5" t="inlineStr">
        <is>
          <t>Bonface Kitheka</t>
        </is>
      </c>
      <c r="B25" s="5" t="inlineStr">
        <is>
          <t>GENERAL HARDWARE</t>
        </is>
      </c>
      <c r="C25" s="6" t="n">
        <v>1163052</v>
      </c>
      <c r="D25" s="6" t="n">
        <v>119199.106</v>
      </c>
      <c r="E25" s="7" t="n">
        <v>0.1024882000116934</v>
      </c>
      <c r="F25" s="10" t="n">
        <v>1762.25</v>
      </c>
    </row>
    <row r="26">
      <c r="A26" s="5" t="inlineStr">
        <is>
          <t>Bonface Kitheka</t>
        </is>
      </c>
      <c r="B26" s="5" t="inlineStr">
        <is>
          <t>PAINTS</t>
        </is>
      </c>
      <c r="C26" s="6" t="n">
        <v>297736</v>
      </c>
      <c r="D26" s="6" t="n">
        <v>48961.7788</v>
      </c>
      <c r="E26" s="7" t="n">
        <v>0.1644469556922911</v>
      </c>
      <c r="F26" s="10" t="n">
        <v>388</v>
      </c>
    </row>
    <row r="27">
      <c r="A27" s="5" t="inlineStr">
        <is>
          <t>Bonface Kitheka</t>
        </is>
      </c>
      <c r="B27" s="5" t="inlineStr">
        <is>
          <t>PLUMBING</t>
        </is>
      </c>
      <c r="C27" s="6" t="n">
        <v>143176</v>
      </c>
      <c r="D27" s="6" t="n">
        <v>35799.2588</v>
      </c>
      <c r="E27" s="7" t="n">
        <v>0.2500367296194893</v>
      </c>
      <c r="F27" s="10" t="n">
        <v>472</v>
      </c>
    </row>
    <row r="28">
      <c r="A28" s="5" t="inlineStr">
        <is>
          <t>Bonface Kitheka</t>
        </is>
      </c>
      <c r="B28" s="5" t="inlineStr">
        <is>
          <t>ELECTRICALS</t>
        </is>
      </c>
      <c r="C28" s="6" t="n">
        <v>186761</v>
      </c>
      <c r="D28" s="6" t="n">
        <v>48715.64999999999</v>
      </c>
      <c r="E28" s="7" t="n">
        <v>0.2608448766070003</v>
      </c>
      <c r="F28" s="10" t="n">
        <v>2360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2" t="inlineStr">
        <is>
          <t>Department</t>
        </is>
      </c>
      <c r="B1" s="12" t="inlineStr">
        <is>
          <t>Head</t>
        </is>
      </c>
      <c r="C1" s="12" t="inlineStr">
        <is>
          <t>Dept Sales</t>
        </is>
      </c>
      <c r="D1" s="12" t="inlineStr">
        <is>
          <t>Dept Profit</t>
        </is>
      </c>
      <c r="E1" s="12" t="inlineStr">
        <is>
          <t>Dept Margin</t>
        </is>
      </c>
      <c r="F1" s="12" t="inlineStr">
        <is>
          <t>Dept Share %</t>
        </is>
      </c>
    </row>
    <row r="2">
      <c r="A2" s="5" t="inlineStr">
        <is>
          <t>PLUMBING</t>
        </is>
      </c>
      <c r="B2" s="5" t="inlineStr">
        <is>
          <t>Lewis</t>
        </is>
      </c>
      <c r="C2" s="6" t="n">
        <v>619610</v>
      </c>
      <c r="D2" s="6" t="n">
        <v>158458.4128</v>
      </c>
      <c r="E2" s="7" t="n">
        <v>0.2557389532125046</v>
      </c>
      <c r="F2" s="7" t="n">
        <v>0.4358352659318923</v>
      </c>
    </row>
    <row r="3">
      <c r="A3" s="5" t="inlineStr">
        <is>
          <t>PAINTS</t>
        </is>
      </c>
      <c r="B3" s="5" t="inlineStr">
        <is>
          <t>Bonface Muriu</t>
        </is>
      </c>
      <c r="C3" s="6" t="n">
        <v>1535360</v>
      </c>
      <c r="D3" s="6" t="n">
        <v>268263.688</v>
      </c>
      <c r="E3" s="7" t="n">
        <v>0.1747236400583576</v>
      </c>
      <c r="F3" s="7" t="n">
        <v>0.3579832293288094</v>
      </c>
    </row>
    <row r="4">
      <c r="A4" s="5" t="inlineStr">
        <is>
          <t>ELECTRICALS</t>
        </is>
      </c>
      <c r="B4" s="5" t="inlineStr">
        <is>
          <t>Bonface Kitheka</t>
        </is>
      </c>
      <c r="C4" s="6" t="n">
        <v>186761</v>
      </c>
      <c r="D4" s="6" t="n">
        <v>48715.64999999999</v>
      </c>
      <c r="E4" s="7" t="n">
        <v>0.2608448766070003</v>
      </c>
      <c r="F4" s="7" t="n">
        <v>0.5761809857590641</v>
      </c>
    </row>
    <row r="6">
      <c r="A6" s="13" t="inlineStr">
        <is>
          <t>GENERAL HARDWARE TEAM</t>
        </is>
      </c>
    </row>
    <row r="7">
      <c r="A7" s="8" t="inlineStr">
        <is>
          <t>Rep</t>
        </is>
      </c>
      <c r="B7" s="8" t="inlineStr">
        <is>
          <t>GH Sales</t>
        </is>
      </c>
      <c r="C7" s="8" t="inlineStr">
        <is>
          <t>GH Profit</t>
        </is>
      </c>
      <c r="D7" s="8" t="inlineStr">
        <is>
          <t>GH Margin</t>
        </is>
      </c>
      <c r="E7" s="8" t="inlineStr">
        <is>
          <t>GH Share %</t>
        </is>
      </c>
    </row>
    <row r="8">
      <c r="A8" s="5" t="inlineStr">
        <is>
          <t>Gladys</t>
        </is>
      </c>
      <c r="B8" s="6" t="n">
        <v>19080190</v>
      </c>
      <c r="C8" s="6" t="n">
        <v>1096127.3724</v>
      </c>
      <c r="D8" s="7" t="n">
        <v>0.05744845163491559</v>
      </c>
      <c r="E8" s="7" t="n">
        <v>0.4372677782874601</v>
      </c>
    </row>
    <row r="9">
      <c r="A9" s="5" t="inlineStr">
        <is>
          <t>Betha Odumo</t>
        </is>
      </c>
      <c r="B9" s="6" t="n">
        <v>8967025</v>
      </c>
      <c r="C9" s="6" t="n">
        <v>664793.564</v>
      </c>
      <c r="D9" s="7" t="n">
        <v>0.07413758342371077</v>
      </c>
      <c r="E9" s="7" t="n">
        <v>0.2055006317860625</v>
      </c>
    </row>
    <row r="10">
      <c r="A10" s="5" t="inlineStr">
        <is>
          <t>Eliza</t>
        </is>
      </c>
      <c r="B10" s="6" t="n">
        <v>6742565</v>
      </c>
      <c r="C10" s="6" t="n">
        <v>549397.5759999999</v>
      </c>
      <c r="D10" s="7" t="n">
        <v>0.08148198437834858</v>
      </c>
      <c r="E10" s="7" t="n">
        <v>0.1545218584043863</v>
      </c>
    </row>
    <row r="11">
      <c r="A11" s="5" t="inlineStr">
        <is>
          <t>Stephen</t>
        </is>
      </c>
      <c r="B11" s="6" t="n">
        <v>3589596</v>
      </c>
      <c r="C11" s="6" t="n">
        <v>331181.7516</v>
      </c>
      <c r="D11" s="7" t="n">
        <v>0.09226156692842313</v>
      </c>
      <c r="E11" s="7" t="n">
        <v>0.08226410050788559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12" customWidth="1" min="5" max="5"/>
    <col width="80" customWidth="1" min="6" max="6"/>
  </cols>
  <sheetData>
    <row r="1">
      <c r="A1" s="4" t="inlineStr">
        <is>
          <t>Rep Name</t>
        </is>
      </c>
      <c r="B1" s="4" t="inlineStr">
        <is>
          <t>Role</t>
        </is>
      </c>
      <c r="C1" s="4" t="inlineStr">
        <is>
          <t>Sales Rank</t>
        </is>
      </c>
      <c r="D1" s="4" t="inlineStr">
        <is>
          <t>Margin Rank</t>
        </is>
      </c>
      <c r="E1" s="4" t="inlineStr">
        <is>
          <t>Week Growth</t>
        </is>
      </c>
      <c r="F1" s="4" t="inlineStr">
        <is>
          <t>Performance Notes</t>
        </is>
      </c>
    </row>
    <row r="2">
      <c r="A2" s="5" t="inlineStr">
        <is>
          <t>Gladys</t>
        </is>
      </c>
      <c r="B2" s="5" t="inlineStr">
        <is>
          <t>General Hardware Team</t>
        </is>
      </c>
      <c r="C2" s="5" t="n">
        <v>1</v>
      </c>
      <c r="D2" s="5" t="n">
        <v>7</v>
      </c>
      <c r="E2" s="5" t="inlineStr">
        <is>
          <t>-16.7%</t>
        </is>
      </c>
      <c r="F2" s="14" t="inlineStr">
        <is>
          <t>Outstanding! Sales 173% above team average | Margin at 5.9% below team average of 8.7% | W1→W2: Strong growth +60.1% (KES 5,631K → 9,016K) | W2→W3: Declined -48.0% (KES 9,016K → 4,692K)</t>
        </is>
      </c>
    </row>
    <row r="3">
      <c r="A3" s="5" t="inlineStr">
        <is>
          <t>Betha Odumo</t>
        </is>
      </c>
      <c r="B3" s="5" t="inlineStr">
        <is>
          <t>General Hardware Team</t>
        </is>
      </c>
      <c r="C3" s="5" t="n">
        <v>2</v>
      </c>
      <c r="D3" s="5" t="n">
        <v>6</v>
      </c>
      <c r="E3" s="5" t="inlineStr">
        <is>
          <t>+59.7%</t>
        </is>
      </c>
      <c r="F3" s="14" t="inlineStr">
        <is>
          <t>Sales 33% above team average - solid performance | W1→W2: Strong growth +54.1% (KES 2,284K → 3,520K) | W2→W3: Steady +3.7% (KES 3,520K → 3,649K) | 📈 Consistent upward trend over 3 weeks (+59.7% overall)</t>
        </is>
      </c>
    </row>
    <row r="4">
      <c r="A4" s="5" t="inlineStr">
        <is>
          <t>Eliza</t>
        </is>
      </c>
      <c r="B4" s="5" t="inlineStr">
        <is>
          <t>General Hardware Team</t>
        </is>
      </c>
      <c r="C4" s="5" t="n">
        <v>3</v>
      </c>
      <c r="D4" s="5" t="n">
        <v>5</v>
      </c>
      <c r="E4" s="5" t="inlineStr">
        <is>
          <t>+43.6%</t>
        </is>
      </c>
      <c r="F4" s="14" t="inlineStr">
        <is>
          <t>Sales 19% above team average - solid performance | W1→W2: Steady +13.1% (KES 2,371K → 2,682K) | W2→W3: Steady +26.9% (KES 2,682K → 3,403K) | 📈 Consistent upward trend over 3 weeks (+43.6% overall)</t>
        </is>
      </c>
    </row>
    <row r="5">
      <c r="A5" s="5" t="inlineStr">
        <is>
          <t>Stephen</t>
        </is>
      </c>
      <c r="B5" s="5" t="inlineStr">
        <is>
          <t>General Hardware Team</t>
        </is>
      </c>
      <c r="C5" s="5" t="n">
        <v>4</v>
      </c>
      <c r="D5" s="5" t="n">
        <v>4</v>
      </c>
      <c r="E5" s="5" t="inlineStr">
        <is>
          <t>+16.6%</t>
        </is>
      </c>
      <c r="F5" s="14" t="inlineStr">
        <is>
          <t>Sales 43% below team average - needs improvement | W1→W2: Strong growth +35.0% (KES 1,157K → 1,561K) | W2→W3: Declined -13.6% (KES 1,561K → 1,349K) | ⚠️ Week 3 reversal after Week 2 growth - monitor closely</t>
        </is>
      </c>
    </row>
    <row r="6">
      <c r="A6" s="5" t="inlineStr">
        <is>
          <t>Bonface Muriu</t>
        </is>
      </c>
      <c r="B6" s="5" t="inlineStr">
        <is>
          <t>Department Head - Paints</t>
        </is>
      </c>
      <c r="C6" s="5" t="n">
        <v>5</v>
      </c>
      <c r="D6" s="5" t="n">
        <v>3</v>
      </c>
      <c r="E6" s="5" t="inlineStr">
        <is>
          <t>-22.8%</t>
        </is>
      </c>
      <c r="F6" s="14" t="inlineStr">
        <is>
          <t>Sales 44% below team average - needs improvement | Excellent margin at 13.9% (Team avg: 8.7%) | W1→W2: Declined -13.9% (KES 1,500K → 1,292K) | W2→W3: Declined -10.4% (KES 1,292K → 1,158K)</t>
        </is>
      </c>
    </row>
    <row r="7">
      <c r="A7" s="5" t="inlineStr">
        <is>
          <t>Lewis</t>
        </is>
      </c>
      <c r="B7" s="5" t="inlineStr">
        <is>
          <t>Department Head - Plumbing</t>
        </is>
      </c>
      <c r="C7" s="5" t="n">
        <v>6</v>
      </c>
      <c r="D7" s="5" t="n">
        <v>1</v>
      </c>
      <c r="E7" s="5" t="inlineStr">
        <is>
          <t>-34.2%</t>
        </is>
      </c>
      <c r="F7" s="14" t="inlineStr">
        <is>
          <t>Sales 63% below team average - needs improvement | Excellent margin at 14.3% (Team avg: 8.7%) | W1→W2: Strong growth +46.3% (KES 838K → 1,226K) | W2→W3: Declined -55.0% (KES 1,226K → 551K)</t>
        </is>
      </c>
    </row>
    <row r="8">
      <c r="A8" s="5" t="inlineStr">
        <is>
          <t>Bonface Kitheka</t>
        </is>
      </c>
      <c r="B8" s="5" t="inlineStr">
        <is>
          <t>Department Head - Electricals</t>
        </is>
      </c>
      <c r="C8" s="5" t="n">
        <v>7</v>
      </c>
      <c r="D8" s="5" t="n">
        <v>2</v>
      </c>
      <c r="E8" s="5" t="inlineStr">
        <is>
          <t>+10.1%</t>
        </is>
      </c>
      <c r="F8" s="14" t="inlineStr">
        <is>
          <t>Sales 75% below team average - needs improvement | Excellent margin at 14.1% (Team avg: 8.7%) | W1→W2: Strong growth +57.8% (KES 487K → 768K) | W2→W3: Declined -30.2% (KES 768K → 536K)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5" t="inlineStr">
        <is>
          <t>SALES REP CHARTS DATA</t>
        </is>
      </c>
    </row>
    <row r="3">
      <c r="A3" s="4" t="inlineStr">
        <is>
          <t>Rep Name</t>
        </is>
      </c>
      <c r="B3" s="4" t="inlineStr">
        <is>
          <t>Sales</t>
        </is>
      </c>
      <c r="C3" s="4" t="inlineStr">
        <is>
          <t>Profit</t>
        </is>
      </c>
      <c r="D3" s="4" t="inlineStr">
        <is>
          <t>Margin %</t>
        </is>
      </c>
      <c r="E3" s="4" t="inlineStr">
        <is>
          <t>Items Sold</t>
        </is>
      </c>
    </row>
    <row r="4">
      <c r="A4" s="5" t="inlineStr">
        <is>
          <t>Gladys</t>
        </is>
      </c>
      <c r="B4" s="6" t="n">
        <v>19339020</v>
      </c>
      <c r="C4" s="6" t="n">
        <v>1149098.9116</v>
      </c>
      <c r="D4" s="7" t="n">
        <v>0.0594186733143665</v>
      </c>
      <c r="E4" s="5" t="n">
        <v>22606</v>
      </c>
    </row>
    <row r="5">
      <c r="A5" s="5" t="inlineStr">
        <is>
          <t>Betha Odumo</t>
        </is>
      </c>
      <c r="B5" s="6" t="n">
        <v>9453025</v>
      </c>
      <c r="C5" s="6" t="n">
        <v>763497.9292</v>
      </c>
      <c r="D5" s="7" t="n">
        <v>0.08076757748974535</v>
      </c>
      <c r="E5" s="5" t="n">
        <v>12927</v>
      </c>
    </row>
    <row r="6">
      <c r="A6" s="5" t="inlineStr">
        <is>
          <t>Eliza</t>
        </is>
      </c>
      <c r="B6" s="6" t="n">
        <v>8456260</v>
      </c>
      <c r="C6" s="6" t="n">
        <v>842095.0399999998</v>
      </c>
      <c r="D6" s="7" t="n">
        <v>0.09958244424840293</v>
      </c>
      <c r="E6" s="5" t="n">
        <v>10636</v>
      </c>
    </row>
    <row r="7">
      <c r="A7" s="5" t="inlineStr">
        <is>
          <t>Stephen</t>
        </is>
      </c>
      <c r="B7" s="6" t="n">
        <v>4067316</v>
      </c>
      <c r="C7" s="6" t="n">
        <v>414348.7984</v>
      </c>
      <c r="D7" s="7" t="n">
        <v>0.1018727825425907</v>
      </c>
      <c r="E7" s="5" t="n">
        <v>5683</v>
      </c>
    </row>
    <row r="8">
      <c r="A8" s="5" t="inlineStr">
        <is>
          <t>Bonface Muriu</t>
        </is>
      </c>
      <c r="B8" s="6" t="n">
        <v>3948909</v>
      </c>
      <c r="C8" s="6" t="n">
        <v>550481.6655999999</v>
      </c>
      <c r="D8" s="7" t="n">
        <v>0.1394009498826131</v>
      </c>
      <c r="E8" s="5" t="n">
        <v>4888</v>
      </c>
    </row>
    <row r="9">
      <c r="A9" s="5" t="inlineStr">
        <is>
          <t>Lewis</t>
        </is>
      </c>
      <c r="B9" s="6" t="n">
        <v>2614482</v>
      </c>
      <c r="C9" s="6" t="n">
        <v>373745.8752</v>
      </c>
      <c r="D9" s="7" t="n">
        <v>0.1429521699518298</v>
      </c>
      <c r="E9" s="5" t="n">
        <v>4791</v>
      </c>
    </row>
    <row r="10">
      <c r="A10" s="5" t="inlineStr">
        <is>
          <t>Bonface Kitheka</t>
        </is>
      </c>
      <c r="B10" s="6" t="n">
        <v>1790725</v>
      </c>
      <c r="C10" s="6" t="n">
        <v>252675.7936</v>
      </c>
      <c r="D10" s="7" t="n">
        <v>0.1411025107707772</v>
      </c>
      <c r="E10" s="5" t="n">
        <v>4982.25</v>
      </c>
    </row>
    <row r="15">
      <c r="A15" s="3" t="inlineStr">
        <is>
          <t>CATEGORY BREAKDOWN</t>
        </is>
      </c>
    </row>
    <row r="16">
      <c r="A16" s="11" t="inlineStr">
        <is>
          <t>Category</t>
        </is>
      </c>
      <c r="B16" s="11" t="inlineStr">
        <is>
          <t>Total Sales</t>
        </is>
      </c>
      <c r="C16" s="11" t="inlineStr">
        <is>
          <t>Total Profit</t>
        </is>
      </c>
    </row>
    <row r="17">
      <c r="A17" s="5" t="inlineStr">
        <is>
          <t>GENERAL HARDWARE</t>
        </is>
      </c>
      <c r="B17" s="6" t="n">
        <v>43635024</v>
      </c>
      <c r="C17" s="6" t="n">
        <v>3178255.464</v>
      </c>
    </row>
    <row r="18">
      <c r="A18" s="5" t="inlineStr">
        <is>
          <t>PAINTS</t>
        </is>
      </c>
      <c r="B18" s="6" t="n">
        <v>4288916</v>
      </c>
      <c r="C18" s="6" t="n">
        <v>721011.8503999999</v>
      </c>
    </row>
    <row r="19">
      <c r="A19" s="5" t="inlineStr">
        <is>
          <t>PLUMBING</t>
        </is>
      </c>
      <c r="B19" s="6" t="n">
        <v>1421661</v>
      </c>
      <c r="C19" s="6" t="n">
        <v>360302.786</v>
      </c>
    </row>
    <row r="20">
      <c r="A20" s="5" t="inlineStr">
        <is>
          <t>ELECTRICALS</t>
        </is>
      </c>
      <c r="B20" s="6" t="n">
        <v>324136</v>
      </c>
      <c r="C20" s="6" t="n">
        <v>86373.9132</v>
      </c>
    </row>
    <row r="35">
      <c r="A35" s="3" t="inlineStr">
        <is>
          <t>WEEK COMPARISON</t>
        </is>
      </c>
    </row>
    <row r="36">
      <c r="A36" s="8" t="inlineStr">
        <is>
          <t>Rep</t>
        </is>
      </c>
      <c r="B36" s="8" t="inlineStr">
        <is>
          <t>Week 1 Sales</t>
        </is>
      </c>
      <c r="C36" s="8" t="inlineStr">
        <is>
          <t>Week 2 Sales</t>
        </is>
      </c>
      <c r="D36" s="8" t="inlineStr">
        <is>
          <t>Week 3 Sales</t>
        </is>
      </c>
    </row>
    <row r="37">
      <c r="A37" s="5" t="inlineStr">
        <is>
          <t>Gladys</t>
        </is>
      </c>
      <c r="B37" s="6" t="n">
        <v>5631385</v>
      </c>
      <c r="C37" s="6" t="n">
        <v>9016020</v>
      </c>
      <c r="D37" s="6" t="n">
        <v>4691615</v>
      </c>
    </row>
    <row r="38">
      <c r="A38" s="5" t="inlineStr">
        <is>
          <t>Betha Odumo</t>
        </is>
      </c>
      <c r="B38" s="6" t="n">
        <v>2284170</v>
      </c>
      <c r="C38" s="6" t="n">
        <v>3520025</v>
      </c>
      <c r="D38" s="6" t="n">
        <v>3648830</v>
      </c>
    </row>
    <row r="39">
      <c r="A39" s="5" t="inlineStr">
        <is>
          <t>Eliza</t>
        </is>
      </c>
      <c r="B39" s="6" t="n">
        <v>2370660</v>
      </c>
      <c r="C39" s="6" t="n">
        <v>2682395</v>
      </c>
      <c r="D39" s="6" t="n">
        <v>3403205</v>
      </c>
    </row>
    <row r="40">
      <c r="A40" s="5" t="inlineStr">
        <is>
          <t>Stephen</t>
        </is>
      </c>
      <c r="B40" s="6" t="n">
        <v>1156911</v>
      </c>
      <c r="C40" s="6" t="n">
        <v>1561475</v>
      </c>
      <c r="D40" s="6" t="n">
        <v>1348930</v>
      </c>
    </row>
    <row r="41">
      <c r="A41" s="5" t="inlineStr">
        <is>
          <t>Bonface Muriu</t>
        </is>
      </c>
      <c r="B41" s="6" t="n">
        <v>1499769</v>
      </c>
      <c r="C41" s="6" t="n">
        <v>1291500</v>
      </c>
      <c r="D41" s="6" t="n">
        <v>1157640</v>
      </c>
    </row>
    <row r="42">
      <c r="A42" s="5" t="inlineStr">
        <is>
          <t>Lewis</t>
        </is>
      </c>
      <c r="B42" s="6" t="n">
        <v>837537</v>
      </c>
      <c r="C42" s="6" t="n">
        <v>1225705</v>
      </c>
      <c r="D42" s="6" t="n">
        <v>551240</v>
      </c>
    </row>
    <row r="43">
      <c r="A43" s="5" t="inlineStr">
        <is>
          <t>Bonface Kitheka</t>
        </is>
      </c>
      <c r="B43" s="6" t="n">
        <v>486660</v>
      </c>
      <c r="C43" s="6" t="n">
        <v>768140</v>
      </c>
      <c r="D43" s="6" t="n">
        <v>535925</v>
      </c>
    </row>
    <row r="60">
      <c r="A60" s="3" t="inlineStr">
        <is>
          <t>PERFORMANCE RADAR DATA</t>
        </is>
      </c>
    </row>
    <row r="61">
      <c r="A61" s="12" t="inlineStr">
        <is>
          <t>Metric</t>
        </is>
      </c>
      <c r="B61" s="12" t="inlineStr">
        <is>
          <t>Gladys</t>
        </is>
      </c>
      <c r="C61" s="12" t="inlineStr">
        <is>
          <t>Betha Odumo</t>
        </is>
      </c>
      <c r="D61" s="12" t="inlineStr">
        <is>
          <t>Eliza</t>
        </is>
      </c>
      <c r="E61" s="12" t="inlineStr">
        <is>
          <t>Stephen</t>
        </is>
      </c>
      <c r="F61" s="12" t="inlineStr">
        <is>
          <t>Bonface Muriu</t>
        </is>
      </c>
      <c r="G61" s="12" t="inlineStr">
        <is>
          <t>Lewis</t>
        </is>
      </c>
      <c r="H61" s="12" t="inlineStr">
        <is>
          <t>Bonface Kitheka</t>
        </is>
      </c>
    </row>
    <row r="62">
      <c r="A62" s="5" t="inlineStr">
        <is>
          <t>Sales</t>
        </is>
      </c>
      <c r="B62" s="5" t="n">
        <v>100</v>
      </c>
      <c r="C62" s="5" t="n">
        <v>48.88057926409922</v>
      </c>
      <c r="D62" s="5" t="n">
        <v>43.72641426504549</v>
      </c>
      <c r="E62" s="5" t="n">
        <v>21.03165517177189</v>
      </c>
      <c r="F62" s="5" t="n">
        <v>20.41938526357592</v>
      </c>
      <c r="G62" s="5" t="n">
        <v>13.51920624726589</v>
      </c>
      <c r="H62" s="5" t="n">
        <v>9.259647076222063</v>
      </c>
    </row>
    <row r="63">
      <c r="A63" s="5" t="inlineStr">
        <is>
          <t>Profit</t>
        </is>
      </c>
      <c r="B63" s="5" t="n">
        <v>100</v>
      </c>
      <c r="C63" s="5" t="n">
        <v>66.44318617767281</v>
      </c>
      <c r="D63" s="5" t="n">
        <v>73.28307698311806</v>
      </c>
      <c r="E63" s="5" t="n">
        <v>36.05858418428598</v>
      </c>
      <c r="F63" s="5" t="n">
        <v>47.90550752793872</v>
      </c>
      <c r="G63" s="5" t="n">
        <v>32.52512655151661</v>
      </c>
      <c r="H63" s="5" t="n">
        <v>21.98903776248255</v>
      </c>
    </row>
    <row r="64">
      <c r="A64" s="5" t="inlineStr">
        <is>
          <t>Items Sold</t>
        </is>
      </c>
      <c r="B64" s="5" t="n">
        <v>100</v>
      </c>
      <c r="C64" s="5" t="n">
        <v>57.18393346899053</v>
      </c>
      <c r="D64" s="5" t="n">
        <v>47.0494558966646</v>
      </c>
      <c r="E64" s="5" t="n">
        <v>25.13934353711404</v>
      </c>
      <c r="F64" s="5" t="n">
        <v>21.62257807661683</v>
      </c>
      <c r="G64" s="5" t="n">
        <v>21.19348845439264</v>
      </c>
      <c r="H64" s="5" t="n">
        <v>22.03950278687074</v>
      </c>
    </row>
    <row r="65">
      <c r="A65" s="5" t="inlineStr">
        <is>
          <t>Margin</t>
        </is>
      </c>
      <c r="B65" s="5" t="n">
        <v>41.56542243072535</v>
      </c>
      <c r="C65" s="5" t="n">
        <v>56.49972121231973</v>
      </c>
      <c r="D65" s="5" t="n">
        <v>69.66137294869951</v>
      </c>
      <c r="E65" s="5" t="n">
        <v>71.26354400700492</v>
      </c>
      <c r="F65" s="5" t="n">
        <v>97.51579841676183</v>
      </c>
      <c r="G65" s="5" t="n">
        <v>100</v>
      </c>
      <c r="H65" s="5" t="n">
        <v>98.70609926265834</v>
      </c>
    </row>
    <row r="85">
      <c r="A85" s="3" t="inlineStr">
        <is>
          <t>SALES &amp; PROFIT TREND</t>
        </is>
      </c>
    </row>
    <row r="86">
      <c r="A86" s="4" t="inlineStr">
        <is>
          <t>Rep</t>
        </is>
      </c>
      <c r="B86" s="4" t="inlineStr">
        <is>
          <t>Sales (M)</t>
        </is>
      </c>
      <c r="C86" s="4" t="inlineStr">
        <is>
          <t>Profit (K)</t>
        </is>
      </c>
    </row>
    <row r="87">
      <c r="A87" s="5" t="inlineStr">
        <is>
          <t>Gladys</t>
        </is>
      </c>
      <c r="B87" s="5" t="n">
        <v>19.33902</v>
      </c>
      <c r="C87" s="5" t="n">
        <v>1149.0989116</v>
      </c>
    </row>
    <row r="88">
      <c r="A88" s="5" t="inlineStr">
        <is>
          <t>Betha Odumo</t>
        </is>
      </c>
      <c r="B88" s="5" t="n">
        <v>9.453025</v>
      </c>
      <c r="C88" s="5" t="n">
        <v>763.4979292</v>
      </c>
    </row>
    <row r="89">
      <c r="A89" s="5" t="inlineStr">
        <is>
          <t>Eliza</t>
        </is>
      </c>
      <c r="B89" s="5" t="n">
        <v>8.45626</v>
      </c>
      <c r="C89" s="5" t="n">
        <v>842.0950399999998</v>
      </c>
    </row>
    <row r="90">
      <c r="A90" s="5" t="inlineStr">
        <is>
          <t>Stephen</t>
        </is>
      </c>
      <c r="B90" s="5" t="n">
        <v>4.067316</v>
      </c>
      <c r="C90" s="5" t="n">
        <v>414.3487984</v>
      </c>
    </row>
    <row r="91">
      <c r="A91" s="5" t="inlineStr">
        <is>
          <t>Bonface Muriu</t>
        </is>
      </c>
      <c r="B91" s="5" t="n">
        <v>3.948909</v>
      </c>
      <c r="C91" s="5" t="n">
        <v>550.4816655999999</v>
      </c>
    </row>
    <row r="92">
      <c r="A92" s="5" t="inlineStr">
        <is>
          <t>Lewis</t>
        </is>
      </c>
      <c r="B92" s="5" t="n">
        <v>2.614482</v>
      </c>
      <c r="C92" s="5" t="n">
        <v>373.7458751999999</v>
      </c>
    </row>
    <row r="93">
      <c r="A93" s="5" t="inlineStr">
        <is>
          <t>Bonface Kitheka</t>
        </is>
      </c>
      <c r="B93" s="5" t="n">
        <v>1.790725</v>
      </c>
      <c r="C93" s="5" t="n">
        <v>252.6757936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2026-02-24T19:58:13Z</dcterms:created>
  <dcterms:modified xmlns:dcterms="http://purl.org/dc/terms/" xmlns:xsi="http://www.w3.org/2001/XMLSchema-instance" xsi:type="dcterms:W3CDTF">2026-02-24T19:58:13Z</dcterms:modified>
</cp:coreProperties>
</file>