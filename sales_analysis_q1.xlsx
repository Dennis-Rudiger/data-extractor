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p Performance" sheetId="2" state="visible" r:id="rId2"/>
    <sheet xmlns:r="http://schemas.openxmlformats.org/officeDocument/2006/relationships" name="GENERAL HARDWAR" sheetId="3" state="visible" r:id="rId3"/>
    <sheet xmlns:r="http://schemas.openxmlformats.org/officeDocument/2006/relationships" name="PAINTS" sheetId="4" state="visible" r:id="rId4"/>
    <sheet xmlns:r="http://schemas.openxmlformats.org/officeDocument/2006/relationships" name="PLUMBING" sheetId="5" state="visible" r:id="rId5"/>
    <sheet xmlns:r="http://schemas.openxmlformats.org/officeDocument/2006/relationships" name="ELECTRICALS" sheetId="6" state="visible" r:id="rId6"/>
    <sheet xmlns:r="http://schemas.openxmlformats.org/officeDocument/2006/relationships" name="Gladys" sheetId="7" state="visible" r:id="rId7"/>
    <sheet xmlns:r="http://schemas.openxmlformats.org/officeDocument/2006/relationships" name="Betha_Odumo" sheetId="8" state="visible" r:id="rId8"/>
    <sheet xmlns:r="http://schemas.openxmlformats.org/officeDocument/2006/relationships" name="Eliza" sheetId="9" state="visible" r:id="rId9"/>
    <sheet xmlns:r="http://schemas.openxmlformats.org/officeDocument/2006/relationships" name="Bonface_Muriu" sheetId="10" state="visible" r:id="rId10"/>
    <sheet xmlns:r="http://schemas.openxmlformats.org/officeDocument/2006/relationships" name="Stephen" sheetId="11" state="visible" r:id="rId11"/>
    <sheet xmlns:r="http://schemas.openxmlformats.org/officeDocument/2006/relationships" name="Lewis" sheetId="12" state="visible" r:id="rId12"/>
    <sheet xmlns:r="http://schemas.openxmlformats.org/officeDocument/2006/relationships" name="Bonface_Kitheka" sheetId="13" state="visible" r:id="rId13"/>
    <sheet xmlns:r="http://schemas.openxmlformats.org/officeDocument/2006/relationships" name="Dennis_Rudiga" sheetId="14" state="visible" r:id="rId14"/>
    <sheet xmlns:r="http://schemas.openxmlformats.org/officeDocument/2006/relationships" name="WALK_IN-BOMAS" sheetId="15" state="visible" r:id="rId15"/>
    <sheet xmlns:r="http://schemas.openxmlformats.org/officeDocument/2006/relationships" name="Unknow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2C3E50"/>
      <sz val="16"/>
    </font>
    <font>
      <name val="Calibri"/>
      <color rgb="00666666"/>
      <sz val="11"/>
    </font>
    <font>
      <name val="Calibri"/>
      <b val="1"/>
      <color rgb="002C3E50"/>
      <sz val="12"/>
    </font>
    <font>
      <b val="1"/>
    </font>
    <font>
      <name val="Calibri"/>
      <b val="1"/>
      <color rgb="00FFFFFF"/>
      <sz val="11"/>
    </font>
    <font>
      <name val="Calibri"/>
      <b val="1"/>
      <color rgb="002C3E50"/>
      <sz val="14"/>
    </font>
    <font>
      <name val="Calibri"/>
      <b val="1"/>
      <color rgb="00FFFFFF"/>
      <sz val="14"/>
    </font>
    <font>
      <name val="Calibri"/>
      <b val="1"/>
      <color rgb="008E44AD"/>
      <sz val="11"/>
    </font>
    <font>
      <name val="Calibri"/>
      <color rgb="0027AE60"/>
      <sz val="10"/>
    </font>
    <font>
      <name val="Calibri"/>
      <color rgb="00E74C3C"/>
      <sz val="10"/>
    </font>
    <font>
      <name val="Calibri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E74C3C"/>
        <bgColor rgb="00E74C3C"/>
      </patternFill>
    </fill>
    <fill>
      <patternFill patternType="solid">
        <fgColor rgb="002ECC71"/>
        <bgColor rgb="002ECC71"/>
      </patternFill>
    </fill>
    <fill>
      <patternFill patternType="solid">
        <fgColor rgb="00F39C12"/>
        <b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0" fontId="7" fillId="3" borderId="0" pivotButton="0" quotePrefix="0" xfId="0"/>
    <xf numFmtId="0" fontId="5" fillId="3" borderId="1" applyAlignment="1" pivotButton="0" quotePrefix="0" xfId="0">
      <alignment horizontal="center"/>
    </xf>
    <xf numFmtId="0" fontId="7" fillId="4" borderId="0" pivotButton="0" quotePrefix="0" xfId="0"/>
    <xf numFmtId="0" fontId="5" fillId="4" borderId="1" applyAlignment="1" pivotButton="0" quotePrefix="0" xfId="0">
      <alignment horizontal="center"/>
    </xf>
    <xf numFmtId="0" fontId="7" fillId="5" borderId="0" pivotButton="0" quotePrefix="0" xfId="0"/>
    <xf numFmtId="0" fontId="5" fillId="5" borderId="1" applyAlignment="1" pivotButton="0" quotePrefix="0" xfId="0">
      <alignment horizontal="center"/>
    </xf>
    <xf numFmtId="0" fontId="7" fillId="6" borderId="0" pivotButton="0" quotePrefix="0" xfId="0"/>
    <xf numFmtId="0" fontId="5" fillId="6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Profit by Rep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 Performance'!D3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'Rep Performance'!$B$4:$B$13</f>
            </numRef>
          </cat>
          <val>
            <numRef>
              <f>'Rep Performance'!$D$4:$D$13</f>
            </numRef>
          </val>
        </ser>
        <ser>
          <idx val="1"/>
          <order val="1"/>
          <tx>
            <strRef>
              <f>'Rep Performance'!E3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'Rep Performance'!$B$4:$B$13</f>
            </numRef>
          </cat>
          <val>
            <numRef>
              <f>'Rep Performance'!$E$4:$E$13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(KES)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GENERAL HARDWARE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'GENERAL HARDWAR'!B5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'GENERAL HARDWAR'!$A$6:$A$15</f>
            </numRef>
          </cat>
          <val>
            <numRef>
              <f>'GENERAL HARDWAR'!$B$6:$B$15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PAINTS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'PAINTS'!B5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'PAINTS'!$A$6:$A$15</f>
            </numRef>
          </cat>
          <val>
            <numRef>
              <f>'PAINTS'!$B$6:$B$15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PLUMBING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'PLUMBING'!B5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'PLUMBING'!$A$6:$A$14</f>
            </numRef>
          </cat>
          <val>
            <numRef>
              <f>'PLUMBING'!$B$6:$B$14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ELECTRICALS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'ELECTRICALS'!B5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'ELECTRICALS'!$A$6:$A$14</f>
            </numRef>
          </cat>
          <val>
            <numRef>
              <f>'ELECTRICALS'!$B$6:$B$14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SALES ANALYSIS - Q1 WEEK Q1, 2026</t>
        </is>
      </c>
    </row>
    <row r="2">
      <c r="A2" s="2" t="inlineStr">
        <is>
          <t>Period: January 5 - March 31, 2026 (74 working days)</t>
        </is>
      </c>
    </row>
    <row r="4">
      <c r="A4" s="3" t="inlineStr">
        <is>
          <t>KEY METRICS</t>
        </is>
      </c>
    </row>
    <row r="5">
      <c r="A5" s="4" t="inlineStr">
        <is>
          <t>Total Sales</t>
        </is>
      </c>
      <c r="B5" s="5" t="n">
        <v>183444382</v>
      </c>
    </row>
    <row r="6">
      <c r="A6" s="4" t="inlineStr">
        <is>
          <t>Total Profit</t>
        </is>
      </c>
      <c r="B6" s="5" t="n">
        <v>16495300.6764</v>
      </c>
    </row>
    <row r="7">
      <c r="A7" s="4" t="inlineStr">
        <is>
          <t>Overall Margin</t>
        </is>
      </c>
      <c r="B7" s="6" t="n">
        <v>0.08991990104335819</v>
      </c>
    </row>
    <row r="8">
      <c r="A8" s="4" t="inlineStr">
        <is>
          <t>Daily Average Sales</t>
        </is>
      </c>
      <c r="B8" s="5" t="n">
        <v>2478978.135135135</v>
      </c>
    </row>
    <row r="9">
      <c r="A9" s="4" t="inlineStr">
        <is>
          <t>Daily Average Profit</t>
        </is>
      </c>
      <c r="B9" s="5" t="n">
        <v>222909.4686</v>
      </c>
    </row>
    <row r="11">
      <c r="A11" s="3" t="inlineStr">
        <is>
          <t>MONTHLY TARGET PROGRESS</t>
        </is>
      </c>
    </row>
    <row r="12">
      <c r="A12" s="7" t="inlineStr">
        <is>
          <t>Category</t>
        </is>
      </c>
      <c r="B12" s="7" t="inlineStr">
        <is>
          <t>Monthly Target</t>
        </is>
      </c>
      <c r="C12" s="7" t="inlineStr">
        <is>
          <t>Week 1 Actual</t>
        </is>
      </c>
      <c r="D12" s="7" t="inlineStr">
        <is>
          <t>% Achieved</t>
        </is>
      </c>
      <c r="E12" s="7" t="inlineStr">
        <is>
          <t>Expected %</t>
        </is>
      </c>
      <c r="F12" s="7" t="inlineStr">
        <is>
          <t>Pace</t>
        </is>
      </c>
    </row>
    <row r="13">
      <c r="A13" s="8" t="inlineStr">
        <is>
          <t>GENERAL HARDWARE</t>
        </is>
      </c>
      <c r="B13" s="9" t="n">
        <v>145500000</v>
      </c>
      <c r="C13" s="9" t="n">
        <v>159936565</v>
      </c>
      <c r="D13" s="10" t="n">
        <v>1.099220378006873</v>
      </c>
      <c r="E13" s="10" t="n">
        <v>0.25</v>
      </c>
      <c r="F13" s="8" t="inlineStr">
        <is>
          <t>Ahead</t>
        </is>
      </c>
    </row>
    <row r="14">
      <c r="A14" s="8" t="inlineStr">
        <is>
          <t>PAINTS</t>
        </is>
      </c>
      <c r="B14" s="9" t="n">
        <v>21000000</v>
      </c>
      <c r="C14" s="9" t="n">
        <v>15769084</v>
      </c>
      <c r="D14" s="10" t="n">
        <v>0.7509087619047619</v>
      </c>
      <c r="E14" s="10" t="n">
        <v>0.25</v>
      </c>
      <c r="F14" s="8" t="inlineStr">
        <is>
          <t>Ahead</t>
        </is>
      </c>
    </row>
    <row r="15">
      <c r="A15" s="8" t="inlineStr">
        <is>
          <t>PLUMBING</t>
        </is>
      </c>
      <c r="B15" s="9" t="n">
        <v>9000000</v>
      </c>
      <c r="C15" s="9" t="n">
        <v>5635949</v>
      </c>
      <c r="D15" s="10" t="n">
        <v>0.6262165555555556</v>
      </c>
      <c r="E15" s="10" t="n">
        <v>0.25</v>
      </c>
      <c r="F15" s="8" t="inlineStr">
        <is>
          <t>Ahead</t>
        </is>
      </c>
    </row>
    <row r="16">
      <c r="A16" s="8" t="inlineStr">
        <is>
          <t>ELECTRICALS</t>
        </is>
      </c>
      <c r="B16" s="9" t="n">
        <v>4500000</v>
      </c>
      <c r="C16" s="9" t="n">
        <v>2102784</v>
      </c>
      <c r="D16" s="10" t="n">
        <v>0.4672853333333333</v>
      </c>
      <c r="E16" s="10" t="n">
        <v>0.25</v>
      </c>
      <c r="F16" s="8" t="inlineStr">
        <is>
          <t>Ahead</t>
        </is>
      </c>
    </row>
    <row r="17">
      <c r="A17" s="8" t="inlineStr">
        <is>
          <t>OVERALL</t>
        </is>
      </c>
      <c r="B17" s="9" t="n">
        <v>180000000</v>
      </c>
      <c r="C17" s="9" t="n">
        <v>183444382</v>
      </c>
      <c r="D17" s="10" t="n">
        <v>1.019135455555556</v>
      </c>
      <c r="E17" s="10" t="n">
        <v>0.25</v>
      </c>
      <c r="F17" s="8" t="inlineStr">
        <is>
          <t>Ahead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6" customWidth="1" min="4" max="4"/>
    <col width="16" customWidth="1" min="5" max="5"/>
    <col width="10" customWidth="1" min="6" max="6"/>
    <col width="10" customWidth="1" min="7" max="7"/>
    <col width="14" customWidth="1" min="8" max="8"/>
  </cols>
  <sheetData>
    <row r="1">
      <c r="A1" s="11" t="inlineStr">
        <is>
          <t>SALES REP PERFORMANCE - Q1 WEEK Q1</t>
        </is>
      </c>
    </row>
    <row r="3">
      <c r="A3" s="7" t="inlineStr">
        <is>
          <t>Rank</t>
        </is>
      </c>
      <c r="B3" s="7" t="inlineStr">
        <is>
          <t>Sales Rep</t>
        </is>
      </c>
      <c r="C3" s="7" t="inlineStr">
        <is>
          <t>Role</t>
        </is>
      </c>
      <c r="D3" s="7" t="inlineStr">
        <is>
          <t>Total Sales</t>
        </is>
      </c>
      <c r="E3" s="7" t="inlineStr">
        <is>
          <t>Total Profit</t>
        </is>
      </c>
      <c r="F3" s="7" t="inlineStr">
        <is>
          <t>Margin %</t>
        </is>
      </c>
      <c r="G3" s="7" t="inlineStr">
        <is>
          <t>Total Qty</t>
        </is>
      </c>
      <c r="H3" s="7" t="inlineStr">
        <is>
          <t>Contribution %</t>
        </is>
      </c>
    </row>
    <row r="4">
      <c r="A4" s="8" t="n">
        <v>1</v>
      </c>
      <c r="B4" s="8" t="inlineStr">
        <is>
          <t>Gladys</t>
        </is>
      </c>
      <c r="C4" s="8" t="inlineStr">
        <is>
          <t>General Hardware Team</t>
        </is>
      </c>
      <c r="D4" s="9" t="n">
        <v>74132410</v>
      </c>
      <c r="E4" s="9" t="n">
        <v>4546676.526799999</v>
      </c>
      <c r="F4" s="10" t="n">
        <v>0.06133183214736981</v>
      </c>
      <c r="G4" s="9" t="n">
        <v>85596.75</v>
      </c>
      <c r="H4" s="10" t="n">
        <v>0.4041138201768424</v>
      </c>
    </row>
    <row r="5">
      <c r="A5" s="8" t="n">
        <v>2</v>
      </c>
      <c r="B5" s="8" t="inlineStr">
        <is>
          <t>Betha Odumo</t>
        </is>
      </c>
      <c r="C5" s="8" t="inlineStr">
        <is>
          <t>General Hardware Team</t>
        </is>
      </c>
      <c r="D5" s="9" t="n">
        <v>38903951</v>
      </c>
      <c r="E5" s="9" t="n">
        <v>3347051.646</v>
      </c>
      <c r="F5" s="10" t="n">
        <v>0.08603372048252886</v>
      </c>
      <c r="G5" s="9" t="n">
        <v>55812</v>
      </c>
      <c r="H5" s="10" t="n">
        <v>0.2120749110757723</v>
      </c>
    </row>
    <row r="6">
      <c r="A6" s="8" t="n">
        <v>3</v>
      </c>
      <c r="B6" s="8" t="inlineStr">
        <is>
          <t>Eliza</t>
        </is>
      </c>
      <c r="C6" s="8" t="inlineStr">
        <is>
          <t>General Hardware Team</t>
        </is>
      </c>
      <c r="D6" s="9" t="n">
        <v>30855552</v>
      </c>
      <c r="E6" s="9" t="n">
        <v>2915703.8596</v>
      </c>
      <c r="F6" s="10" t="n">
        <v>0.0944952746137875</v>
      </c>
      <c r="G6" s="9" t="n">
        <v>43417.5</v>
      </c>
      <c r="H6" s="10" t="n">
        <v>0.168201128121765</v>
      </c>
    </row>
    <row r="7">
      <c r="A7" s="8" t="n">
        <v>4</v>
      </c>
      <c r="B7" s="8" t="inlineStr">
        <is>
          <t>Bonface Muriu</t>
        </is>
      </c>
      <c r="C7" s="8" t="inlineStr">
        <is>
          <t>Department Head - Paints</t>
        </is>
      </c>
      <c r="D7" s="9" t="n">
        <v>13330942</v>
      </c>
      <c r="E7" s="9" t="n">
        <v>2015440.0744</v>
      </c>
      <c r="F7" s="10" t="n">
        <v>0.1511851206313853</v>
      </c>
      <c r="G7" s="9" t="n">
        <v>15973</v>
      </c>
      <c r="H7" s="10" t="n">
        <v>0.0726702112905262</v>
      </c>
    </row>
    <row r="8">
      <c r="A8" s="8" t="n">
        <v>5</v>
      </c>
      <c r="B8" s="8" t="inlineStr">
        <is>
          <t>Stephen</t>
        </is>
      </c>
      <c r="C8" s="8" t="inlineStr">
        <is>
          <t>General Hardware Team</t>
        </is>
      </c>
      <c r="D8" s="9" t="n">
        <v>13208958</v>
      </c>
      <c r="E8" s="9" t="n">
        <v>1421789.2988</v>
      </c>
      <c r="F8" s="10" t="n">
        <v>0.107638263275574</v>
      </c>
      <c r="G8" s="9" t="n">
        <v>19440.15</v>
      </c>
      <c r="H8" s="10" t="n">
        <v>0.07200524680009007</v>
      </c>
    </row>
    <row r="9">
      <c r="A9" s="8" t="n">
        <v>6</v>
      </c>
      <c r="B9" s="8" t="inlineStr">
        <is>
          <t>Lewis</t>
        </is>
      </c>
      <c r="C9" s="8" t="inlineStr">
        <is>
          <t>Department Head - Plumbing</t>
        </is>
      </c>
      <c r="D9" s="9" t="n">
        <v>6302141</v>
      </c>
      <c r="E9" s="9" t="n">
        <v>1146652.2628</v>
      </c>
      <c r="F9" s="10" t="n">
        <v>0.1819464627655903</v>
      </c>
      <c r="G9" s="9" t="n">
        <v>14234.75</v>
      </c>
      <c r="H9" s="10" t="n">
        <v>0.03435450533448334</v>
      </c>
    </row>
    <row r="10">
      <c r="A10" s="8" t="n">
        <v>7</v>
      </c>
      <c r="B10" s="8" t="inlineStr">
        <is>
          <t>Bonface Kitheka</t>
        </is>
      </c>
      <c r="C10" s="8" t="inlineStr">
        <is>
          <t>Department Head - Electricals</t>
        </is>
      </c>
      <c r="D10" s="9" t="n">
        <v>5406468</v>
      </c>
      <c r="E10" s="9" t="n">
        <v>879548.4936</v>
      </c>
      <c r="F10" s="10" t="n">
        <v>0.1626844907987988</v>
      </c>
      <c r="G10" s="9" t="n">
        <v>21242.5</v>
      </c>
      <c r="H10" s="10" t="n">
        <v>0.02947197369064156</v>
      </c>
    </row>
    <row r="11">
      <c r="A11" s="8" t="n">
        <v>8</v>
      </c>
      <c r="B11" s="8" t="inlineStr">
        <is>
          <t>Dennis Rudiga</t>
        </is>
      </c>
      <c r="C11" s="8" t="inlineStr">
        <is>
          <t>General Hardware Team</t>
        </is>
      </c>
      <c r="D11" s="9" t="n">
        <v>1230195</v>
      </c>
      <c r="E11" s="9" t="n">
        <v>214859.2368</v>
      </c>
      <c r="F11" s="10" t="n">
        <v>0.1746546171948349</v>
      </c>
      <c r="G11" s="9" t="n">
        <v>2331.75</v>
      </c>
      <c r="H11" s="10" t="n">
        <v>0.006706092531086616</v>
      </c>
    </row>
    <row r="12">
      <c r="A12" s="8" t="n">
        <v>9</v>
      </c>
      <c r="B12" s="8" t="inlineStr">
        <is>
          <t>WALK IN-BOMAS</t>
        </is>
      </c>
      <c r="C12" s="8" t="inlineStr">
        <is>
          <t>General Hardware Team</t>
        </is>
      </c>
      <c r="D12" s="9" t="n">
        <v>76485</v>
      </c>
      <c r="E12" s="9" t="n">
        <v>8119.014</v>
      </c>
      <c r="F12" s="10" t="n">
        <v>0.1061517160227496</v>
      </c>
      <c r="G12" s="9" t="n">
        <v>229</v>
      </c>
      <c r="H12" s="10" t="n">
        <v>0.000416938361186771</v>
      </c>
    </row>
    <row r="13">
      <c r="A13" s="8" t="n">
        <v>10</v>
      </c>
      <c r="B13" s="8" t="inlineStr">
        <is>
          <t>Unknown</t>
        </is>
      </c>
      <c r="C13" s="8" t="inlineStr">
        <is>
          <t>General Hardware Team</t>
        </is>
      </c>
      <c r="D13" s="9" t="n">
        <v>-2720</v>
      </c>
      <c r="E13" s="9" t="n">
        <v>-539.7364</v>
      </c>
      <c r="F13" s="10" t="n">
        <v>0</v>
      </c>
      <c r="G13" s="9" t="n">
        <v>-5</v>
      </c>
      <c r="H13" s="10" t="n">
        <v>-1.482738239429976e-05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2" t="inlineStr">
        <is>
          <t>GENERAL HARDWARE - Q1 WEEK Q1</t>
        </is>
      </c>
    </row>
    <row r="2">
      <c r="A2" t="inlineStr">
        <is>
          <t>Department Head(s): Gladys, Betha Odumo, Eliza, Stephen</t>
        </is>
      </c>
    </row>
    <row r="3">
      <c r="A3" t="inlineStr">
        <is>
          <t>Total Sales: KES 159,936,565  |  Total Profit: KES 11,856,014</t>
        </is>
      </c>
    </row>
    <row r="5">
      <c r="A5" s="13" t="inlineStr">
        <is>
          <t>Rep</t>
        </is>
      </c>
      <c r="B5" s="13" t="inlineStr">
        <is>
          <t>Sales (KES)</t>
        </is>
      </c>
      <c r="C5" s="13" t="inlineStr">
        <is>
          <t>Profit (KES)</t>
        </is>
      </c>
      <c r="D5" s="13" t="inlineStr">
        <is>
          <t>Margin %</t>
        </is>
      </c>
      <c r="E5" s="13" t="inlineStr">
        <is>
          <t>Qty</t>
        </is>
      </c>
      <c r="F5" s="13" t="inlineStr">
        <is>
          <t>Share of Dept %</t>
        </is>
      </c>
    </row>
    <row r="6">
      <c r="A6" s="8" t="inlineStr">
        <is>
          <t>Gladys</t>
        </is>
      </c>
      <c r="B6" s="9" t="n">
        <v>72833280</v>
      </c>
      <c r="C6" s="9" t="n">
        <v>4297008.334799999</v>
      </c>
      <c r="D6" s="10" t="n">
        <v>0.05899786930919491</v>
      </c>
      <c r="E6" s="9" t="n">
        <v>83530.75</v>
      </c>
      <c r="F6" s="10" t="n">
        <v>0.4553885473281236</v>
      </c>
    </row>
    <row r="7">
      <c r="A7" s="8" t="inlineStr">
        <is>
          <t>Betha Odumo</t>
        </is>
      </c>
      <c r="B7" s="9" t="n">
        <v>36260606</v>
      </c>
      <c r="C7" s="9" t="n">
        <v>2791223.4708</v>
      </c>
      <c r="D7" s="10" t="n">
        <v>0.07697674635663838</v>
      </c>
      <c r="E7" s="9" t="n">
        <v>48282</v>
      </c>
      <c r="F7" s="10" t="n">
        <v>0.2267186743694289</v>
      </c>
    </row>
    <row r="8">
      <c r="A8" s="8" t="inlineStr">
        <is>
          <t>Eliza</t>
        </is>
      </c>
      <c r="B8" s="9" t="n">
        <v>26296242</v>
      </c>
      <c r="C8" s="9" t="n">
        <v>2099885.3484</v>
      </c>
      <c r="D8" s="10" t="n">
        <v>0.0798549598227762</v>
      </c>
      <c r="E8" s="9" t="n">
        <v>35510.5</v>
      </c>
      <c r="F8" s="10" t="n">
        <v>0.1644166985829663</v>
      </c>
    </row>
    <row r="9">
      <c r="A9" s="8" t="inlineStr">
        <is>
          <t>Stephen</t>
        </is>
      </c>
      <c r="B9" s="9" t="n">
        <v>12086148</v>
      </c>
      <c r="C9" s="9" t="n">
        <v>1189142.5176</v>
      </c>
      <c r="D9" s="10" t="n">
        <v>0.09838887605877406</v>
      </c>
      <c r="E9" s="9" t="n">
        <v>17965.15</v>
      </c>
      <c r="F9" s="10" t="n">
        <v>0.07556838550334002</v>
      </c>
    </row>
    <row r="10">
      <c r="A10" s="8" t="inlineStr">
        <is>
          <t>Bonface Muriu</t>
        </is>
      </c>
      <c r="B10" s="9" t="n">
        <v>5664637</v>
      </c>
      <c r="C10" s="9" t="n">
        <v>649105.9559999999</v>
      </c>
      <c r="D10" s="10" t="n">
        <v>0.1145891530207496</v>
      </c>
      <c r="E10" s="9" t="n">
        <v>8969.5</v>
      </c>
      <c r="F10" s="10" t="n">
        <v>0.03541802338946069</v>
      </c>
    </row>
    <row r="11">
      <c r="A11" s="8" t="inlineStr">
        <is>
          <t>Bonface Kitheka</t>
        </is>
      </c>
      <c r="B11" s="9" t="n">
        <v>3044170</v>
      </c>
      <c r="C11" s="9" t="n">
        <v>343054.7692</v>
      </c>
      <c r="D11" s="10" t="n">
        <v>0.112692382225697</v>
      </c>
      <c r="E11" s="9" t="n">
        <v>5303.5</v>
      </c>
      <c r="F11" s="10" t="n">
        <v>0.01903360873106159</v>
      </c>
    </row>
    <row r="12">
      <c r="A12" s="8" t="inlineStr">
        <is>
          <t>Lewis</t>
        </is>
      </c>
      <c r="B12" s="9" t="n">
        <v>2946129</v>
      </c>
      <c r="C12" s="9" t="n">
        <v>361537.2928</v>
      </c>
      <c r="D12" s="10" t="n">
        <v>0.1227160429159755</v>
      </c>
      <c r="E12" s="9" t="n">
        <v>4722.25</v>
      </c>
      <c r="F12" s="10" t="n">
        <v>0.0184206094460013</v>
      </c>
    </row>
    <row r="13">
      <c r="A13" s="8" t="inlineStr">
        <is>
          <t>Dennis Rudiga</t>
        </is>
      </c>
      <c r="B13" s="9" t="n">
        <v>757350</v>
      </c>
      <c r="C13" s="9" t="n">
        <v>118019.1424</v>
      </c>
      <c r="D13" s="10" t="n">
        <v>0.1558317058163333</v>
      </c>
      <c r="E13" s="9" t="n">
        <v>1319.75</v>
      </c>
      <c r="F13" s="10" t="n">
        <v>0.004735314904380996</v>
      </c>
    </row>
    <row r="14">
      <c r="A14" s="8" t="inlineStr">
        <is>
          <t>WALK IN-BOMAS</t>
        </is>
      </c>
      <c r="B14" s="9" t="n">
        <v>48823</v>
      </c>
      <c r="C14" s="9" t="n">
        <v>7280.856</v>
      </c>
      <c r="D14" s="10" t="n">
        <v>0.1491275833111443</v>
      </c>
      <c r="E14" s="9" t="n">
        <v>133</v>
      </c>
      <c r="F14" s="10" t="n">
        <v>0.0003052647779449308</v>
      </c>
    </row>
    <row r="15">
      <c r="A15" s="8" t="inlineStr">
        <is>
          <t>Unknown</t>
        </is>
      </c>
      <c r="B15" s="9" t="n">
        <v>-820</v>
      </c>
      <c r="C15" s="9" t="n">
        <v>-244.0176</v>
      </c>
      <c r="D15" s="10" t="n">
        <v>0</v>
      </c>
      <c r="E15" s="9" t="n">
        <v>-4</v>
      </c>
      <c r="F15" s="10" t="n">
        <v>-5.12703270824905e-06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4" t="inlineStr">
        <is>
          <t>PAINTS - Q1 WEEK Q1</t>
        </is>
      </c>
    </row>
    <row r="2">
      <c r="A2" t="inlineStr">
        <is>
          <t>Department Head(s): Bonface Muriu</t>
        </is>
      </c>
    </row>
    <row r="3">
      <c r="A3" t="inlineStr">
        <is>
          <t>Total Sales: KES 15,769,084  |  Total Profit: KES 2,725,590</t>
        </is>
      </c>
    </row>
    <row r="5">
      <c r="A5" s="15" t="inlineStr">
        <is>
          <t>Rep</t>
        </is>
      </c>
      <c r="B5" s="15" t="inlineStr">
        <is>
          <t>Sales (KES)</t>
        </is>
      </c>
      <c r="C5" s="15" t="inlineStr">
        <is>
          <t>Profit (KES)</t>
        </is>
      </c>
      <c r="D5" s="15" t="inlineStr">
        <is>
          <t>Margin %</t>
        </is>
      </c>
      <c r="E5" s="15" t="inlineStr">
        <is>
          <t>Qty</t>
        </is>
      </c>
      <c r="F5" s="15" t="inlineStr">
        <is>
          <t>Share of Dept %</t>
        </is>
      </c>
    </row>
    <row r="6">
      <c r="A6" s="8" t="inlineStr">
        <is>
          <t>Bonface Muriu</t>
        </is>
      </c>
      <c r="B6" s="9" t="n">
        <v>7313530</v>
      </c>
      <c r="C6" s="9" t="n">
        <v>1277469.1748</v>
      </c>
      <c r="D6" s="10" t="n">
        <v>0.1746720359115229</v>
      </c>
      <c r="E6" s="9" t="n">
        <v>6013.5</v>
      </c>
      <c r="F6" s="10" t="n">
        <v>0.4637891459009287</v>
      </c>
    </row>
    <row r="7">
      <c r="A7" s="8" t="inlineStr">
        <is>
          <t>Eliza</t>
        </is>
      </c>
      <c r="B7" s="9" t="n">
        <v>3708040</v>
      </c>
      <c r="C7" s="9" t="n">
        <v>556372.9459999999</v>
      </c>
      <c r="D7" s="10" t="n">
        <v>0.1500450227074141</v>
      </c>
      <c r="E7" s="9" t="n">
        <v>3329</v>
      </c>
      <c r="F7" s="10" t="n">
        <v>0.2351461885801357</v>
      </c>
    </row>
    <row r="8">
      <c r="A8" s="8" t="inlineStr">
        <is>
          <t>Betha Odumo</t>
        </is>
      </c>
      <c r="B8" s="9" t="n">
        <v>1539245</v>
      </c>
      <c r="C8" s="9" t="n">
        <v>287308.6144</v>
      </c>
      <c r="D8" s="10" t="n">
        <v>0.1866555450236967</v>
      </c>
      <c r="E8" s="9" t="n">
        <v>1913</v>
      </c>
      <c r="F8" s="10" t="n">
        <v>0.0976115670383898</v>
      </c>
    </row>
    <row r="9">
      <c r="A9" s="8" t="inlineStr">
        <is>
          <t>Lewis</t>
        </is>
      </c>
      <c r="B9" s="9" t="n">
        <v>890445</v>
      </c>
      <c r="C9" s="9" t="n">
        <v>168120.7952</v>
      </c>
      <c r="D9" s="10" t="n">
        <v>0.1888053672040384</v>
      </c>
      <c r="E9" s="9" t="n">
        <v>969.5</v>
      </c>
      <c r="F9" s="10" t="n">
        <v>0.05646776946587386</v>
      </c>
    </row>
    <row r="10">
      <c r="A10" s="8" t="inlineStr">
        <is>
          <t>Gladys</t>
        </is>
      </c>
      <c r="B10" s="9" t="n">
        <v>877290</v>
      </c>
      <c r="C10" s="9" t="n">
        <v>143858.3396</v>
      </c>
      <c r="D10" s="10" t="n">
        <v>0.1639803709149768</v>
      </c>
      <c r="E10" s="9" t="n">
        <v>741</v>
      </c>
      <c r="F10" s="10" t="n">
        <v>0.05563354218926096</v>
      </c>
    </row>
    <row r="11">
      <c r="A11" s="8" t="inlineStr">
        <is>
          <t>Stephen</t>
        </is>
      </c>
      <c r="B11" s="9" t="n">
        <v>710600</v>
      </c>
      <c r="C11" s="9" t="n">
        <v>141576.3296</v>
      </c>
      <c r="D11" s="10" t="n">
        <v>0.1992349135941458</v>
      </c>
      <c r="E11" s="9" t="n">
        <v>760</v>
      </c>
      <c r="F11" s="10" t="n">
        <v>0.04506285843870195</v>
      </c>
    </row>
    <row r="12">
      <c r="A12" s="8" t="inlineStr">
        <is>
          <t>Bonface Kitheka</t>
        </is>
      </c>
      <c r="B12" s="9" t="n">
        <v>528580</v>
      </c>
      <c r="C12" s="9" t="n">
        <v>108509.4856</v>
      </c>
      <c r="D12" s="10" t="n">
        <v>0.2052848870558856</v>
      </c>
      <c r="E12" s="9" t="n">
        <v>904</v>
      </c>
      <c r="F12" s="10" t="n">
        <v>0.03352001929852108</v>
      </c>
    </row>
    <row r="13">
      <c r="A13" s="8" t="inlineStr">
        <is>
          <t>Dennis Rudiga</t>
        </is>
      </c>
      <c r="B13" s="9" t="n">
        <v>190560</v>
      </c>
      <c r="C13" s="9" t="n">
        <v>42250.39</v>
      </c>
      <c r="D13" s="10" t="n">
        <v>0.2217169920235096</v>
      </c>
      <c r="E13" s="9" t="n">
        <v>247</v>
      </c>
      <c r="F13" s="10" t="n">
        <v>0.01208440515631726</v>
      </c>
    </row>
    <row r="14">
      <c r="A14" s="8" t="inlineStr">
        <is>
          <t>WALK IN-BOMAS</t>
        </is>
      </c>
      <c r="B14" s="9" t="n">
        <v>12694</v>
      </c>
      <c r="C14" s="9" t="n">
        <v>420.0476</v>
      </c>
      <c r="D14" s="10" t="n">
        <v>0.03309024736095793</v>
      </c>
      <c r="E14" s="9" t="n">
        <v>5</v>
      </c>
      <c r="F14" s="10" t="n">
        <v>0.0008049928581774313</v>
      </c>
    </row>
    <row r="15">
      <c r="A15" s="8" t="inlineStr">
        <is>
          <t>Unknown</t>
        </is>
      </c>
      <c r="B15" s="9" t="n">
        <v>-1900</v>
      </c>
      <c r="C15" s="9" t="n">
        <v>-295.7188</v>
      </c>
      <c r="D15" s="10" t="n">
        <v>0</v>
      </c>
      <c r="E15" s="9" t="n">
        <v>-1</v>
      </c>
      <c r="F15" s="10" t="n">
        <v>-0.0001204889263066897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6" t="inlineStr">
        <is>
          <t>PLUMBING - Q1 WEEK Q1</t>
        </is>
      </c>
    </row>
    <row r="2">
      <c r="A2" t="inlineStr">
        <is>
          <t>Department Head(s): Lewis</t>
        </is>
      </c>
    </row>
    <row r="3">
      <c r="A3" t="inlineStr">
        <is>
          <t>Total Sales: KES 5,635,949  |  Total Profit: KES 1,419,225</t>
        </is>
      </c>
    </row>
    <row r="5">
      <c r="A5" s="17" t="inlineStr">
        <is>
          <t>Rep</t>
        </is>
      </c>
      <c r="B5" s="17" t="inlineStr">
        <is>
          <t>Sales (KES)</t>
        </is>
      </c>
      <c r="C5" s="17" t="inlineStr">
        <is>
          <t>Profit (KES)</t>
        </is>
      </c>
      <c r="D5" s="17" t="inlineStr">
        <is>
          <t>Margin %</t>
        </is>
      </c>
      <c r="E5" s="17" t="inlineStr">
        <is>
          <t>Qty</t>
        </is>
      </c>
      <c r="F5" s="17" t="inlineStr">
        <is>
          <t>Share of Dept %</t>
        </is>
      </c>
    </row>
    <row r="6">
      <c r="A6" s="8" t="inlineStr">
        <is>
          <t>Lewis</t>
        </is>
      </c>
      <c r="B6" s="9" t="n">
        <v>2376352</v>
      </c>
      <c r="C6" s="9" t="n">
        <v>595832.1091999999</v>
      </c>
      <c r="D6" s="10" t="n">
        <v>0.250733943961164</v>
      </c>
      <c r="E6" s="9" t="n">
        <v>8142</v>
      </c>
      <c r="F6" s="10" t="n">
        <v>0.4216418565888371</v>
      </c>
    </row>
    <row r="7">
      <c r="A7" s="8" t="inlineStr">
        <is>
          <t>Betha Odumo</t>
        </is>
      </c>
      <c r="B7" s="9" t="n">
        <v>884570</v>
      </c>
      <c r="C7" s="9" t="n">
        <v>210606.12</v>
      </c>
      <c r="D7" s="10" t="n">
        <v>0.2380886984636603</v>
      </c>
      <c r="E7" s="9" t="n">
        <v>2663</v>
      </c>
      <c r="F7" s="10" t="n">
        <v>0.1569513847623532</v>
      </c>
    </row>
    <row r="8">
      <c r="A8" s="8" t="inlineStr">
        <is>
          <t>Eliza</t>
        </is>
      </c>
      <c r="B8" s="9" t="n">
        <v>664770</v>
      </c>
      <c r="C8" s="9" t="n">
        <v>211972.9364</v>
      </c>
      <c r="D8" s="10" t="n">
        <v>0.3188665800201573</v>
      </c>
      <c r="E8" s="9" t="n">
        <v>2453</v>
      </c>
      <c r="F8" s="10" t="n">
        <v>0.1179517415789249</v>
      </c>
    </row>
    <row r="9">
      <c r="A9" s="8" t="inlineStr">
        <is>
          <t>Bonface Kitheka</t>
        </is>
      </c>
      <c r="B9" s="9" t="n">
        <v>396185</v>
      </c>
      <c r="C9" s="9" t="n">
        <v>110551.248</v>
      </c>
      <c r="D9" s="10" t="n">
        <v>0.2790394588386738</v>
      </c>
      <c r="E9" s="9" t="n">
        <v>1583</v>
      </c>
      <c r="F9" s="10" t="n">
        <v>0.07029605839229561</v>
      </c>
    </row>
    <row r="10">
      <c r="A10" s="8" t="inlineStr">
        <is>
          <t>Gladys</t>
        </is>
      </c>
      <c r="B10" s="9" t="n">
        <v>385110</v>
      </c>
      <c r="C10" s="9" t="n">
        <v>95032.65199999999</v>
      </c>
      <c r="D10" s="10" t="n">
        <v>0.2467675521279634</v>
      </c>
      <c r="E10" s="9" t="n">
        <v>914</v>
      </c>
      <c r="F10" s="10" t="n">
        <v>0.06833099447848091</v>
      </c>
    </row>
    <row r="11">
      <c r="A11" s="8" t="inlineStr">
        <is>
          <t>Stephen</t>
        </is>
      </c>
      <c r="B11" s="9" t="n">
        <v>383470</v>
      </c>
      <c r="C11" s="9" t="n">
        <v>84291.8872</v>
      </c>
      <c r="D11" s="10" t="n">
        <v>0.2198135113568206</v>
      </c>
      <c r="E11" s="9" t="n">
        <v>503</v>
      </c>
      <c r="F11" s="10" t="n">
        <v>0.06804000533006953</v>
      </c>
    </row>
    <row r="12">
      <c r="A12" s="8" t="inlineStr">
        <is>
          <t>Bonface Muriu</t>
        </is>
      </c>
      <c r="B12" s="9" t="n">
        <v>299885</v>
      </c>
      <c r="C12" s="9" t="n">
        <v>70073.82519999999</v>
      </c>
      <c r="D12" s="10" t="n">
        <v>0.2336689904463377</v>
      </c>
      <c r="E12" s="9" t="n">
        <v>698</v>
      </c>
      <c r="F12" s="10" t="n">
        <v>0.05320931754350509</v>
      </c>
    </row>
    <row r="13">
      <c r="A13" s="8" t="inlineStr">
        <is>
          <t>Dennis Rudiga</t>
        </is>
      </c>
      <c r="B13" s="9" t="n">
        <v>233540</v>
      </c>
      <c r="C13" s="9" t="n">
        <v>40878.1332</v>
      </c>
      <c r="D13" s="10" t="n">
        <v>0.1750369666866489</v>
      </c>
      <c r="E13" s="9" t="n">
        <v>351</v>
      </c>
      <c r="F13" s="10" t="n">
        <v>0.04143756446341158</v>
      </c>
    </row>
    <row r="14">
      <c r="A14" s="8" t="inlineStr">
        <is>
          <t>WALK IN-BOMAS</t>
        </is>
      </c>
      <c r="B14" s="9" t="n">
        <v>12067</v>
      </c>
      <c r="C14" s="9" t="n">
        <v>-13.6532</v>
      </c>
      <c r="D14" s="10" t="n">
        <v>-0.001131449407474931</v>
      </c>
      <c r="E14" s="9" t="n">
        <v>46</v>
      </c>
      <c r="F14" s="10" t="n">
        <v>0.002141076862122067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8" t="inlineStr">
        <is>
          <t>ELECTRICALS - Q1 WEEK Q1</t>
        </is>
      </c>
    </row>
    <row r="2">
      <c r="A2" t="inlineStr">
        <is>
          <t>Department Head(s): Bonface Kitheka</t>
        </is>
      </c>
    </row>
    <row r="3">
      <c r="A3" t="inlineStr">
        <is>
          <t>Total Sales: KES 2,102,784  |  Total Profit: KES 494,471</t>
        </is>
      </c>
    </row>
    <row r="5">
      <c r="A5" s="19" t="inlineStr">
        <is>
          <t>Rep</t>
        </is>
      </c>
      <c r="B5" s="19" t="inlineStr">
        <is>
          <t>Sales (KES)</t>
        </is>
      </c>
      <c r="C5" s="19" t="inlineStr">
        <is>
          <t>Profit (KES)</t>
        </is>
      </c>
      <c r="D5" s="19" t="inlineStr">
        <is>
          <t>Margin %</t>
        </is>
      </c>
      <c r="E5" s="19" t="inlineStr">
        <is>
          <t>Qty</t>
        </is>
      </c>
      <c r="F5" s="19" t="inlineStr">
        <is>
          <t>Share of Dept %</t>
        </is>
      </c>
    </row>
    <row r="6">
      <c r="A6" s="8" t="inlineStr">
        <is>
          <t>Bonface Kitheka</t>
        </is>
      </c>
      <c r="B6" s="9" t="n">
        <v>1437533</v>
      </c>
      <c r="C6" s="9" t="n">
        <v>317432.9908</v>
      </c>
      <c r="D6" s="10" t="n">
        <v>0.2208178809112556</v>
      </c>
      <c r="E6" s="9" t="n">
        <v>13452</v>
      </c>
      <c r="F6" s="10" t="n">
        <v>0.6836332214816168</v>
      </c>
    </row>
    <row r="7">
      <c r="A7" s="8" t="inlineStr">
        <is>
          <t>Betha Odumo</t>
        </is>
      </c>
      <c r="B7" s="9" t="n">
        <v>219530</v>
      </c>
      <c r="C7" s="9" t="n">
        <v>57913.44079999999</v>
      </c>
      <c r="D7" s="10" t="n">
        <v>0.263806499339498</v>
      </c>
      <c r="E7" s="9" t="n">
        <v>2954</v>
      </c>
      <c r="F7" s="10" t="n">
        <v>0.1043996910762113</v>
      </c>
    </row>
    <row r="8">
      <c r="A8" s="8" t="inlineStr">
        <is>
          <t>Eliza</t>
        </is>
      </c>
      <c r="B8" s="9" t="n">
        <v>186500</v>
      </c>
      <c r="C8" s="9" t="n">
        <v>47472.6288</v>
      </c>
      <c r="D8" s="10" t="n">
        <v>0.254544926541555</v>
      </c>
      <c r="E8" s="9" t="n">
        <v>2125</v>
      </c>
      <c r="F8" s="10" t="n">
        <v>0.08869194363282201</v>
      </c>
    </row>
    <row r="9">
      <c r="A9" s="8" t="inlineStr">
        <is>
          <t>Lewis</t>
        </is>
      </c>
      <c r="B9" s="9" t="n">
        <v>89215</v>
      </c>
      <c r="C9" s="9" t="n">
        <v>21162.0656</v>
      </c>
      <c r="D9" s="10" t="n">
        <v>0.2372029994956005</v>
      </c>
      <c r="E9" s="9" t="n">
        <v>401</v>
      </c>
      <c r="F9" s="10" t="n">
        <v>0.04242708713781349</v>
      </c>
    </row>
    <row r="10">
      <c r="A10" s="8" t="inlineStr">
        <is>
          <t>Bonface Muriu</t>
        </is>
      </c>
      <c r="B10" s="9" t="n">
        <v>52890</v>
      </c>
      <c r="C10" s="9" t="n">
        <v>18791.1184</v>
      </c>
      <c r="D10" s="10" t="n">
        <v>0.355286791453961</v>
      </c>
      <c r="E10" s="9" t="n">
        <v>292</v>
      </c>
      <c r="F10" s="10" t="n">
        <v>0.02515236943024105</v>
      </c>
    </row>
    <row r="11">
      <c r="A11" s="8" t="inlineStr">
        <is>
          <t>Dennis Rudiga</t>
        </is>
      </c>
      <c r="B11" s="9" t="n">
        <v>48745</v>
      </c>
      <c r="C11" s="9" t="n">
        <v>13711.5712</v>
      </c>
      <c r="D11" s="10" t="n">
        <v>0.2812918494204533</v>
      </c>
      <c r="E11" s="9" t="n">
        <v>414</v>
      </c>
      <c r="F11" s="10" t="n">
        <v>0.02318117314950085</v>
      </c>
    </row>
    <row r="12">
      <c r="A12" s="8" t="inlineStr">
        <is>
          <t>Gladys</t>
        </is>
      </c>
      <c r="B12" s="9" t="n">
        <v>36730</v>
      </c>
      <c r="C12" s="9" t="n">
        <v>10777.2004</v>
      </c>
      <c r="D12" s="10" t="n">
        <v>0.2934168363735366</v>
      </c>
      <c r="E12" s="9" t="n">
        <v>411</v>
      </c>
      <c r="F12" s="10" t="n">
        <v>0.01746731951546141</v>
      </c>
    </row>
    <row r="13">
      <c r="A13" s="8" t="inlineStr">
        <is>
          <t>Stephen</t>
        </is>
      </c>
      <c r="B13" s="9" t="n">
        <v>28740</v>
      </c>
      <c r="C13" s="9" t="n">
        <v>6778.564399999999</v>
      </c>
      <c r="D13" s="10" t="n">
        <v>0.2358581906750174</v>
      </c>
      <c r="E13" s="9" t="n">
        <v>212</v>
      </c>
      <c r="F13" s="10" t="n">
        <v>0.01366759495982469</v>
      </c>
    </row>
    <row r="14">
      <c r="A14" s="8" t="inlineStr">
        <is>
          <t>WALK IN-BOMAS</t>
        </is>
      </c>
      <c r="B14" s="9" t="n">
        <v>2901</v>
      </c>
      <c r="C14" s="9" t="n">
        <v>431.7635999999999</v>
      </c>
      <c r="D14" s="10" t="n">
        <v>0.1488326783867632</v>
      </c>
      <c r="E14" s="9" t="n">
        <v>45</v>
      </c>
      <c r="F14" s="10" t="n">
        <v>0.0013795996165084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Gladys - General Hardware Team</t>
        </is>
      </c>
    </row>
    <row r="2">
      <c r="A2" s="20" t="inlineStr">
        <is>
          <t>TOP SELLER  TOP PROFIT</t>
        </is>
      </c>
    </row>
    <row r="4">
      <c r="A4" s="7" t="inlineStr">
        <is>
          <t>Total Sales</t>
        </is>
      </c>
      <c r="B4" s="7" t="inlineStr">
        <is>
          <t>Total Profit</t>
        </is>
      </c>
      <c r="C4" s="7" t="inlineStr">
        <is>
          <t>Margin %</t>
        </is>
      </c>
      <c r="D4" s="7" t="inlineStr">
        <is>
          <t>Items Sold</t>
        </is>
      </c>
      <c r="E4" s="7" t="inlineStr">
        <is>
          <t>Sales Rank</t>
        </is>
      </c>
    </row>
    <row r="5">
      <c r="A5" s="9" t="n">
        <v>74132410</v>
      </c>
      <c r="B5" s="9" t="n">
        <v>4546676.526799999</v>
      </c>
      <c r="C5" s="10" t="n">
        <v>0.06133183214736981</v>
      </c>
      <c r="D5" s="9" t="n">
        <v>85596.75</v>
      </c>
      <c r="E5" s="8" t="n">
        <v>1</v>
      </c>
    </row>
    <row r="7">
      <c r="A7" s="13" t="inlineStr">
        <is>
          <t>Category</t>
        </is>
      </c>
      <c r="B7" s="13" t="inlineStr">
        <is>
          <t>Sales (KES)</t>
        </is>
      </c>
      <c r="C7" s="13" t="inlineStr">
        <is>
          <t>Profit (KES)</t>
        </is>
      </c>
      <c r="D7" s="13" t="inlineStr">
        <is>
          <t>Margin %</t>
        </is>
      </c>
      <c r="E7" s="13" t="inlineStr">
        <is>
          <t>Qty</t>
        </is>
      </c>
    </row>
    <row r="8">
      <c r="A8" s="8" t="inlineStr">
        <is>
          <t>GENERAL HARDWARE</t>
        </is>
      </c>
      <c r="B8" s="9" t="n">
        <v>72833280</v>
      </c>
      <c r="C8" s="9" t="n">
        <v>4297008.334799999</v>
      </c>
      <c r="D8" s="10" t="n">
        <v>0.05899786930919491</v>
      </c>
      <c r="E8" s="9" t="n">
        <v>83530.75</v>
      </c>
    </row>
    <row r="9">
      <c r="A9" s="8" t="inlineStr">
        <is>
          <t>PAINTS</t>
        </is>
      </c>
      <c r="B9" s="9" t="n">
        <v>877290</v>
      </c>
      <c r="C9" s="9" t="n">
        <v>143858.3396</v>
      </c>
      <c r="D9" s="10" t="n">
        <v>0.1639803709149768</v>
      </c>
      <c r="E9" s="9" t="n">
        <v>741</v>
      </c>
    </row>
    <row r="10">
      <c r="A10" s="8" t="inlineStr">
        <is>
          <t>PLUMBING</t>
        </is>
      </c>
      <c r="B10" s="9" t="n">
        <v>385110</v>
      </c>
      <c r="C10" s="9" t="n">
        <v>95032.65199999999</v>
      </c>
      <c r="D10" s="10" t="n">
        <v>0.2467675521279634</v>
      </c>
      <c r="E10" s="9" t="n">
        <v>914</v>
      </c>
    </row>
    <row r="11">
      <c r="A11" s="8" t="inlineStr">
        <is>
          <t>ELECTRICALS</t>
        </is>
      </c>
      <c r="B11" s="9" t="n">
        <v>36730</v>
      </c>
      <c r="C11" s="9" t="n">
        <v>10777.2004</v>
      </c>
      <c r="D11" s="10" t="n">
        <v>0.2934168363735366</v>
      </c>
      <c r="E11" s="9" t="n">
        <v>411</v>
      </c>
    </row>
    <row r="13">
      <c r="A13" s="20" t="inlineStr">
        <is>
          <t>Performance Notes</t>
        </is>
      </c>
    </row>
    <row r="14">
      <c r="A14" s="21" t="inlineStr">
        <is>
          <t xml:space="preserve">  Outstanding! Sales 304% above team average</t>
        </is>
      </c>
    </row>
    <row r="15">
      <c r="A15" s="22" t="inlineStr">
        <is>
          <t xml:space="preserve">  Margin at 6.1% below team average of 11.3%</t>
        </is>
      </c>
    </row>
    <row r="16">
      <c r="A16" s="23" t="inlineStr">
        <is>
          <t xml:space="preserve">  General Hardware: 45.5% of dept, 5.9% margin</t>
        </is>
      </c>
    </row>
    <row r="17">
      <c r="A17" s="21" t="inlineStr">
        <is>
          <t xml:space="preserve">  Selling across all 4 categories - excellent product range</t>
        </is>
      </c>
    </row>
    <row r="18">
      <c r="A18" s="23" t="inlineStr">
        <is>
          <t xml:space="preserve">  Best margin in ELECTRICALS: 29.3%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Betha Odumo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38903951</v>
      </c>
      <c r="B4" s="9" t="n">
        <v>3347051.646</v>
      </c>
      <c r="C4" s="10" t="n">
        <v>0.08603372048252886</v>
      </c>
      <c r="D4" s="9" t="n">
        <v>55812</v>
      </c>
      <c r="E4" s="8" t="n">
        <v>2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36260606</v>
      </c>
      <c r="C7" s="9" t="n">
        <v>2791223.4708</v>
      </c>
      <c r="D7" s="10" t="n">
        <v>0.07697674635663838</v>
      </c>
      <c r="E7" s="9" t="n">
        <v>48282</v>
      </c>
    </row>
    <row r="8">
      <c r="A8" s="8" t="inlineStr">
        <is>
          <t>PAINTS</t>
        </is>
      </c>
      <c r="B8" s="9" t="n">
        <v>1539245</v>
      </c>
      <c r="C8" s="9" t="n">
        <v>287308.6144</v>
      </c>
      <c r="D8" s="10" t="n">
        <v>0.1866555450236967</v>
      </c>
      <c r="E8" s="9" t="n">
        <v>1913</v>
      </c>
    </row>
    <row r="9">
      <c r="A9" s="8" t="inlineStr">
        <is>
          <t>PLUMBING</t>
        </is>
      </c>
      <c r="B9" s="9" t="n">
        <v>884570</v>
      </c>
      <c r="C9" s="9" t="n">
        <v>210606.12</v>
      </c>
      <c r="D9" s="10" t="n">
        <v>0.2380886984636603</v>
      </c>
      <c r="E9" s="9" t="n">
        <v>2663</v>
      </c>
    </row>
    <row r="10">
      <c r="A10" s="8" t="inlineStr">
        <is>
          <t>ELECTRICALS</t>
        </is>
      </c>
      <c r="B10" s="9" t="n">
        <v>219530</v>
      </c>
      <c r="C10" s="9" t="n">
        <v>57913.44079999999</v>
      </c>
      <c r="D10" s="10" t="n">
        <v>0.263806499339498</v>
      </c>
      <c r="E10" s="9" t="n">
        <v>2954</v>
      </c>
    </row>
    <row r="12">
      <c r="A12" s="20" t="inlineStr">
        <is>
          <t>Performance Notes</t>
        </is>
      </c>
    </row>
    <row r="13">
      <c r="A13" s="21" t="inlineStr">
        <is>
          <t xml:space="preserve">  Outstanding! Sales 112% above team average</t>
        </is>
      </c>
    </row>
    <row r="14">
      <c r="A14" s="22" t="inlineStr">
        <is>
          <t xml:space="preserve">  Margin at 8.6% below team average of 11.3%</t>
        </is>
      </c>
    </row>
    <row r="15">
      <c r="A15" s="23" t="inlineStr">
        <is>
          <t xml:space="preserve">  General Hardware: 22.7% of dept, 7.7% margin</t>
        </is>
      </c>
    </row>
    <row r="16">
      <c r="A16" s="21" t="inlineStr">
        <is>
          <t xml:space="preserve">  Selling across all 4 categories - excellent product range</t>
        </is>
      </c>
    </row>
    <row r="17">
      <c r="A17" s="23" t="inlineStr">
        <is>
          <t xml:space="preserve">  Best margin in ELECTRICALS: 26.4%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Eliza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30855552</v>
      </c>
      <c r="B4" s="9" t="n">
        <v>2915703.8596</v>
      </c>
      <c r="C4" s="10" t="n">
        <v>0.0944952746137875</v>
      </c>
      <c r="D4" s="9" t="n">
        <v>43417.5</v>
      </c>
      <c r="E4" s="8" t="n">
        <v>3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26296242</v>
      </c>
      <c r="C7" s="9" t="n">
        <v>2099885.3484</v>
      </c>
      <c r="D7" s="10" t="n">
        <v>0.0798549598227762</v>
      </c>
      <c r="E7" s="9" t="n">
        <v>35510.5</v>
      </c>
    </row>
    <row r="8">
      <c r="A8" s="8" t="inlineStr">
        <is>
          <t>PAINTS</t>
        </is>
      </c>
      <c r="B8" s="9" t="n">
        <v>3708040</v>
      </c>
      <c r="C8" s="9" t="n">
        <v>556372.9459999999</v>
      </c>
      <c r="D8" s="10" t="n">
        <v>0.1500450227074141</v>
      </c>
      <c r="E8" s="9" t="n">
        <v>3329</v>
      </c>
    </row>
    <row r="9">
      <c r="A9" s="8" t="inlineStr">
        <is>
          <t>PLUMBING</t>
        </is>
      </c>
      <c r="B9" s="9" t="n">
        <v>664770</v>
      </c>
      <c r="C9" s="9" t="n">
        <v>211972.9364</v>
      </c>
      <c r="D9" s="10" t="n">
        <v>0.3188665800201573</v>
      </c>
      <c r="E9" s="9" t="n">
        <v>2453</v>
      </c>
    </row>
    <row r="10">
      <c r="A10" s="8" t="inlineStr">
        <is>
          <t>ELECTRICALS</t>
        </is>
      </c>
      <c r="B10" s="9" t="n">
        <v>186500</v>
      </c>
      <c r="C10" s="9" t="n">
        <v>47472.6288</v>
      </c>
      <c r="D10" s="10" t="n">
        <v>0.254544926541555</v>
      </c>
      <c r="E10" s="9" t="n">
        <v>2125</v>
      </c>
    </row>
    <row r="12">
      <c r="A12" s="20" t="inlineStr">
        <is>
          <t>Performance Notes</t>
        </is>
      </c>
    </row>
    <row r="13">
      <c r="A13" s="21" t="inlineStr">
        <is>
          <t xml:space="preserve">  Outstanding! Sales 68% above team average</t>
        </is>
      </c>
    </row>
    <row r="14">
      <c r="A14" s="23" t="inlineStr">
        <is>
          <t xml:space="preserve">  General Hardware: 16.4% of dept, 8.0% margin</t>
        </is>
      </c>
    </row>
    <row r="15">
      <c r="A15" s="21" t="inlineStr">
        <is>
          <t xml:space="preserve">  Selling across all 4 categories - excellent product range</t>
        </is>
      </c>
    </row>
    <row r="16">
      <c r="A16" s="23" t="inlineStr">
        <is>
          <t xml:space="preserve">  Best margin in PLUMBING: 31.9%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Bonface Muriu - Department Head - Paints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13330942</v>
      </c>
      <c r="B4" s="9" t="n">
        <v>2015440.0744</v>
      </c>
      <c r="C4" s="10" t="n">
        <v>0.1511851206313853</v>
      </c>
      <c r="D4" s="9" t="n">
        <v>15973</v>
      </c>
      <c r="E4" s="8" t="n">
        <v>4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5664637</v>
      </c>
      <c r="C7" s="9" t="n">
        <v>649105.9559999999</v>
      </c>
      <c r="D7" s="10" t="n">
        <v>0.1145891530207496</v>
      </c>
      <c r="E7" s="9" t="n">
        <v>8969.5</v>
      </c>
    </row>
    <row r="8">
      <c r="A8" s="8" t="inlineStr">
        <is>
          <t>PAINTS</t>
        </is>
      </c>
      <c r="B8" s="9" t="n">
        <v>7313530</v>
      </c>
      <c r="C8" s="9" t="n">
        <v>1277469.1748</v>
      </c>
      <c r="D8" s="10" t="n">
        <v>0.1746720359115229</v>
      </c>
      <c r="E8" s="9" t="n">
        <v>6013.5</v>
      </c>
    </row>
    <row r="9">
      <c r="A9" s="8" t="inlineStr">
        <is>
          <t>PLUMBING</t>
        </is>
      </c>
      <c r="B9" s="9" t="n">
        <v>299885</v>
      </c>
      <c r="C9" s="9" t="n">
        <v>70073.82519999999</v>
      </c>
      <c r="D9" s="10" t="n">
        <v>0.2336689904463377</v>
      </c>
      <c r="E9" s="9" t="n">
        <v>698</v>
      </c>
    </row>
    <row r="10">
      <c r="A10" s="8" t="inlineStr">
        <is>
          <t>ELECTRICALS</t>
        </is>
      </c>
      <c r="B10" s="9" t="n">
        <v>52890</v>
      </c>
      <c r="C10" s="9" t="n">
        <v>18791.1184</v>
      </c>
      <c r="D10" s="10" t="n">
        <v>0.355286791453961</v>
      </c>
      <c r="E10" s="9" t="n">
        <v>292</v>
      </c>
    </row>
    <row r="12">
      <c r="A12" s="20" t="inlineStr">
        <is>
          <t>Performance Notes</t>
        </is>
      </c>
    </row>
    <row r="13">
      <c r="A13" s="22" t="inlineStr">
        <is>
          <t xml:space="preserve">  Sales 27% below team average - needs improvement</t>
        </is>
      </c>
    </row>
    <row r="14">
      <c r="A14" s="21" t="inlineStr">
        <is>
          <t xml:space="preserve">  Excellent margin at 15.1% (Team avg: 11.3%)</t>
        </is>
      </c>
    </row>
    <row r="15">
      <c r="A15" s="23" t="inlineStr">
        <is>
          <t xml:space="preserve">  Paints Dept Head: 46.4% of dept sales, 17.5% margin</t>
        </is>
      </c>
    </row>
    <row r="16">
      <c r="A16" s="21" t="inlineStr">
        <is>
          <t xml:space="preserve">  Good paints leadership with 46.4% of dept sales</t>
        </is>
      </c>
    </row>
    <row r="17">
      <c r="A17" s="21" t="inlineStr">
        <is>
          <t xml:space="preserve">  Selling across all 4 categories - excellent product range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Stephen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13208958</v>
      </c>
      <c r="B4" s="9" t="n">
        <v>1421789.2988</v>
      </c>
      <c r="C4" s="10" t="n">
        <v>0.107638263275574</v>
      </c>
      <c r="D4" s="9" t="n">
        <v>19440.15</v>
      </c>
      <c r="E4" s="8" t="n">
        <v>5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12086148</v>
      </c>
      <c r="C7" s="9" t="n">
        <v>1189142.5176</v>
      </c>
      <c r="D7" s="10" t="n">
        <v>0.09838887605877406</v>
      </c>
      <c r="E7" s="9" t="n">
        <v>17965.15</v>
      </c>
    </row>
    <row r="8">
      <c r="A8" s="8" t="inlineStr">
        <is>
          <t>PAINTS</t>
        </is>
      </c>
      <c r="B8" s="9" t="n">
        <v>710600</v>
      </c>
      <c r="C8" s="9" t="n">
        <v>141576.3296</v>
      </c>
      <c r="D8" s="10" t="n">
        <v>0.1992349135941458</v>
      </c>
      <c r="E8" s="9" t="n">
        <v>760</v>
      </c>
    </row>
    <row r="9">
      <c r="A9" s="8" t="inlineStr">
        <is>
          <t>PLUMBING</t>
        </is>
      </c>
      <c r="B9" s="9" t="n">
        <v>383470</v>
      </c>
      <c r="C9" s="9" t="n">
        <v>84291.8872</v>
      </c>
      <c r="D9" s="10" t="n">
        <v>0.2198135113568206</v>
      </c>
      <c r="E9" s="9" t="n">
        <v>503</v>
      </c>
    </row>
    <row r="10">
      <c r="A10" s="8" t="inlineStr">
        <is>
          <t>ELECTRICALS</t>
        </is>
      </c>
      <c r="B10" s="9" t="n">
        <v>28740</v>
      </c>
      <c r="C10" s="9" t="n">
        <v>6778.564399999999</v>
      </c>
      <c r="D10" s="10" t="n">
        <v>0.2358581906750174</v>
      </c>
      <c r="E10" s="9" t="n">
        <v>212</v>
      </c>
    </row>
    <row r="12">
      <c r="A12" s="20" t="inlineStr">
        <is>
          <t>Performance Notes</t>
        </is>
      </c>
    </row>
    <row r="13">
      <c r="A13" s="22" t="inlineStr">
        <is>
          <t xml:space="preserve">  Sales 28% below team average - needs improvement</t>
        </is>
      </c>
    </row>
    <row r="14">
      <c r="A14" s="23" t="inlineStr">
        <is>
          <t xml:space="preserve">  General Hardware: 7.6% of dept, 9.8% margin</t>
        </is>
      </c>
    </row>
    <row r="15">
      <c r="A15" s="21" t="inlineStr">
        <is>
          <t xml:space="preserve">  Selling across all 4 categories - excellent product range</t>
        </is>
      </c>
    </row>
    <row r="16">
      <c r="A16" s="23" t="inlineStr">
        <is>
          <t xml:space="preserve">  Best margin in ELECTRICALS: 23.6%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Lewis - Department Head - Plumbing</t>
        </is>
      </c>
    </row>
    <row r="2">
      <c r="A2" s="20" t="inlineStr">
        <is>
          <t>BEST MARGIN</t>
        </is>
      </c>
    </row>
    <row r="4">
      <c r="A4" s="7" t="inlineStr">
        <is>
          <t>Total Sales</t>
        </is>
      </c>
      <c r="B4" s="7" t="inlineStr">
        <is>
          <t>Total Profit</t>
        </is>
      </c>
      <c r="C4" s="7" t="inlineStr">
        <is>
          <t>Margin %</t>
        </is>
      </c>
      <c r="D4" s="7" t="inlineStr">
        <is>
          <t>Items Sold</t>
        </is>
      </c>
      <c r="E4" s="7" t="inlineStr">
        <is>
          <t>Sales Rank</t>
        </is>
      </c>
    </row>
    <row r="5">
      <c r="A5" s="9" t="n">
        <v>6302141</v>
      </c>
      <c r="B5" s="9" t="n">
        <v>1146652.2628</v>
      </c>
      <c r="C5" s="10" t="n">
        <v>0.1819464627655903</v>
      </c>
      <c r="D5" s="9" t="n">
        <v>14234.75</v>
      </c>
      <c r="E5" s="8" t="n">
        <v>6</v>
      </c>
    </row>
    <row r="7">
      <c r="A7" s="13" t="inlineStr">
        <is>
          <t>Category</t>
        </is>
      </c>
      <c r="B7" s="13" t="inlineStr">
        <is>
          <t>Sales (KES)</t>
        </is>
      </c>
      <c r="C7" s="13" t="inlineStr">
        <is>
          <t>Profit (KES)</t>
        </is>
      </c>
      <c r="D7" s="13" t="inlineStr">
        <is>
          <t>Margin %</t>
        </is>
      </c>
      <c r="E7" s="13" t="inlineStr">
        <is>
          <t>Qty</t>
        </is>
      </c>
    </row>
    <row r="8">
      <c r="A8" s="8" t="inlineStr">
        <is>
          <t>GENERAL HARDWARE</t>
        </is>
      </c>
      <c r="B8" s="9" t="n">
        <v>2946129</v>
      </c>
      <c r="C8" s="9" t="n">
        <v>361537.2928</v>
      </c>
      <c r="D8" s="10" t="n">
        <v>0.1227160429159755</v>
      </c>
      <c r="E8" s="9" t="n">
        <v>4722.25</v>
      </c>
    </row>
    <row r="9">
      <c r="A9" s="8" t="inlineStr">
        <is>
          <t>PAINTS</t>
        </is>
      </c>
      <c r="B9" s="9" t="n">
        <v>890445</v>
      </c>
      <c r="C9" s="9" t="n">
        <v>168120.7952</v>
      </c>
      <c r="D9" s="10" t="n">
        <v>0.1888053672040384</v>
      </c>
      <c r="E9" s="9" t="n">
        <v>969.5</v>
      </c>
    </row>
    <row r="10">
      <c r="A10" s="8" t="inlineStr">
        <is>
          <t>PLUMBING</t>
        </is>
      </c>
      <c r="B10" s="9" t="n">
        <v>2376352</v>
      </c>
      <c r="C10" s="9" t="n">
        <v>595832.1091999999</v>
      </c>
      <c r="D10" s="10" t="n">
        <v>0.250733943961164</v>
      </c>
      <c r="E10" s="9" t="n">
        <v>8142</v>
      </c>
    </row>
    <row r="11">
      <c r="A11" s="8" t="inlineStr">
        <is>
          <t>ELECTRICALS</t>
        </is>
      </c>
      <c r="B11" s="9" t="n">
        <v>89215</v>
      </c>
      <c r="C11" s="9" t="n">
        <v>21162.0656</v>
      </c>
      <c r="D11" s="10" t="n">
        <v>0.2372029994956005</v>
      </c>
      <c r="E11" s="9" t="n">
        <v>401</v>
      </c>
    </row>
    <row r="13">
      <c r="A13" s="20" t="inlineStr">
        <is>
          <t>Performance Notes</t>
        </is>
      </c>
    </row>
    <row r="14">
      <c r="A14" s="22" t="inlineStr">
        <is>
          <t xml:space="preserve">  Sales 66% below team average - needs improvement</t>
        </is>
      </c>
    </row>
    <row r="15">
      <c r="A15" s="21" t="inlineStr">
        <is>
          <t xml:space="preserve">  Excellent margin at 18.2% (Team avg: 11.3%)</t>
        </is>
      </c>
    </row>
    <row r="16">
      <c r="A16" s="23" t="inlineStr">
        <is>
          <t xml:space="preserve">  Plumbing Dept Head: 42.2% of dept sales, 25.1% margin</t>
        </is>
      </c>
    </row>
    <row r="17">
      <c r="A17" s="21" t="inlineStr">
        <is>
          <t xml:space="preserve">  Strong plumbing leadership with 42.2% of dept sales</t>
        </is>
      </c>
    </row>
    <row r="18">
      <c r="A18" s="21" t="inlineStr">
        <is>
          <t xml:space="preserve">  Selling across all 4 categories - excellent product range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Bonface Kitheka - Department Head - Electricals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5406468</v>
      </c>
      <c r="B4" s="9" t="n">
        <v>879548.4936</v>
      </c>
      <c r="C4" s="10" t="n">
        <v>0.1626844907987988</v>
      </c>
      <c r="D4" s="9" t="n">
        <v>21242.5</v>
      </c>
      <c r="E4" s="8" t="n">
        <v>7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3044170</v>
      </c>
      <c r="C7" s="9" t="n">
        <v>343054.7692</v>
      </c>
      <c r="D7" s="10" t="n">
        <v>0.112692382225697</v>
      </c>
      <c r="E7" s="9" t="n">
        <v>5303.5</v>
      </c>
    </row>
    <row r="8">
      <c r="A8" s="8" t="inlineStr">
        <is>
          <t>PAINTS</t>
        </is>
      </c>
      <c r="B8" s="9" t="n">
        <v>528580</v>
      </c>
      <c r="C8" s="9" t="n">
        <v>108509.4856</v>
      </c>
      <c r="D8" s="10" t="n">
        <v>0.2052848870558856</v>
      </c>
      <c r="E8" s="9" t="n">
        <v>904</v>
      </c>
    </row>
    <row r="9">
      <c r="A9" s="8" t="inlineStr">
        <is>
          <t>PLUMBING</t>
        </is>
      </c>
      <c r="B9" s="9" t="n">
        <v>396185</v>
      </c>
      <c r="C9" s="9" t="n">
        <v>110551.248</v>
      </c>
      <c r="D9" s="10" t="n">
        <v>0.2790394588386738</v>
      </c>
      <c r="E9" s="9" t="n">
        <v>1583</v>
      </c>
    </row>
    <row r="10">
      <c r="A10" s="8" t="inlineStr">
        <is>
          <t>ELECTRICALS</t>
        </is>
      </c>
      <c r="B10" s="9" t="n">
        <v>1437533</v>
      </c>
      <c r="C10" s="9" t="n">
        <v>317432.9908</v>
      </c>
      <c r="D10" s="10" t="n">
        <v>0.2208178809112556</v>
      </c>
      <c r="E10" s="9" t="n">
        <v>13452</v>
      </c>
    </row>
    <row r="12">
      <c r="A12" s="20" t="inlineStr">
        <is>
          <t>Performance Notes</t>
        </is>
      </c>
    </row>
    <row r="13">
      <c r="A13" s="22" t="inlineStr">
        <is>
          <t xml:space="preserve">  Sales 71% below team average - needs improvement</t>
        </is>
      </c>
    </row>
    <row r="14">
      <c r="A14" s="21" t="inlineStr">
        <is>
          <t xml:space="preserve">  Excellent margin at 16.3% (Team avg: 11.3%)</t>
        </is>
      </c>
    </row>
    <row r="15">
      <c r="A15" s="23" t="inlineStr">
        <is>
          <t xml:space="preserve">  Electricals Dept Head: 68.4% of dept sales, 22.1% margin</t>
        </is>
      </c>
    </row>
    <row r="16">
      <c r="A16" s="21" t="inlineStr">
        <is>
          <t xml:space="preserve">  Strong leadership - controls 68.4% of department sales</t>
        </is>
      </c>
    </row>
    <row r="17">
      <c r="A17" s="21" t="inlineStr">
        <is>
          <t xml:space="preserve">  Selling across all 4 categories - excellent product range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Dennis Rudiga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1230195</v>
      </c>
      <c r="B4" s="9" t="n">
        <v>214859.2368</v>
      </c>
      <c r="C4" s="10" t="n">
        <v>0.1746546171948349</v>
      </c>
      <c r="D4" s="9" t="n">
        <v>2331.75</v>
      </c>
      <c r="E4" s="8" t="n">
        <v>8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757350</v>
      </c>
      <c r="C7" s="9" t="n">
        <v>118019.1424</v>
      </c>
      <c r="D7" s="10" t="n">
        <v>0.1558317058163333</v>
      </c>
      <c r="E7" s="9" t="n">
        <v>1319.75</v>
      </c>
    </row>
    <row r="8">
      <c r="A8" s="8" t="inlineStr">
        <is>
          <t>PAINTS</t>
        </is>
      </c>
      <c r="B8" s="9" t="n">
        <v>190560</v>
      </c>
      <c r="C8" s="9" t="n">
        <v>42250.39</v>
      </c>
      <c r="D8" s="10" t="n">
        <v>0.2217169920235096</v>
      </c>
      <c r="E8" s="9" t="n">
        <v>247</v>
      </c>
    </row>
    <row r="9">
      <c r="A9" s="8" t="inlineStr">
        <is>
          <t>PLUMBING</t>
        </is>
      </c>
      <c r="B9" s="9" t="n">
        <v>233540</v>
      </c>
      <c r="C9" s="9" t="n">
        <v>40878.1332</v>
      </c>
      <c r="D9" s="10" t="n">
        <v>0.1750369666866489</v>
      </c>
      <c r="E9" s="9" t="n">
        <v>351</v>
      </c>
    </row>
    <row r="10">
      <c r="A10" s="8" t="inlineStr">
        <is>
          <t>ELECTRICALS</t>
        </is>
      </c>
      <c r="B10" s="9" t="n">
        <v>48745</v>
      </c>
      <c r="C10" s="9" t="n">
        <v>13711.5712</v>
      </c>
      <c r="D10" s="10" t="n">
        <v>0.2812918494204533</v>
      </c>
      <c r="E10" s="9" t="n">
        <v>414</v>
      </c>
    </row>
    <row r="12">
      <c r="A12" s="20" t="inlineStr">
        <is>
          <t>Performance Notes</t>
        </is>
      </c>
    </row>
    <row r="13">
      <c r="A13" s="22" t="inlineStr">
        <is>
          <t xml:space="preserve">  Sales 93% below team average - needs improvement</t>
        </is>
      </c>
    </row>
    <row r="14">
      <c r="A14" s="21" t="inlineStr">
        <is>
          <t xml:space="preserve">  Excellent margin at 17.5% (Team avg: 11.3%)</t>
        </is>
      </c>
    </row>
    <row r="15">
      <c r="A15" s="23" t="inlineStr">
        <is>
          <t xml:space="preserve">  General Hardware: 0.5% of dept, 15.6% margin</t>
        </is>
      </c>
    </row>
    <row r="16">
      <c r="A16" s="21" t="inlineStr">
        <is>
          <t xml:space="preserve">  Selling across all 4 categories - excellent product range</t>
        </is>
      </c>
    </row>
    <row r="17">
      <c r="A17" s="23" t="inlineStr">
        <is>
          <t xml:space="preserve">  Best margin in ELECTRICALS: 28.1%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WALK IN-BOMAS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76485</v>
      </c>
      <c r="B4" s="9" t="n">
        <v>8119.014</v>
      </c>
      <c r="C4" s="10" t="n">
        <v>0.1061517160227496</v>
      </c>
      <c r="D4" s="9" t="n">
        <v>229</v>
      </c>
      <c r="E4" s="8" t="n">
        <v>9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48823</v>
      </c>
      <c r="C7" s="9" t="n">
        <v>7280.856</v>
      </c>
      <c r="D7" s="10" t="n">
        <v>0.1491275833111443</v>
      </c>
      <c r="E7" s="9" t="n">
        <v>133</v>
      </c>
    </row>
    <row r="8">
      <c r="A8" s="8" t="inlineStr">
        <is>
          <t>PAINTS</t>
        </is>
      </c>
      <c r="B8" s="9" t="n">
        <v>12694</v>
      </c>
      <c r="C8" s="9" t="n">
        <v>420.0476</v>
      </c>
      <c r="D8" s="10" t="n">
        <v>0.03309024736095793</v>
      </c>
      <c r="E8" s="9" t="n">
        <v>5</v>
      </c>
    </row>
    <row r="9">
      <c r="A9" s="8" t="inlineStr">
        <is>
          <t>PLUMBING</t>
        </is>
      </c>
      <c r="B9" s="9" t="n">
        <v>12067</v>
      </c>
      <c r="C9" s="9" t="n">
        <v>-13.6532</v>
      </c>
      <c r="D9" s="10" t="n">
        <v>-0.001131449407474931</v>
      </c>
      <c r="E9" s="9" t="n">
        <v>46</v>
      </c>
    </row>
    <row r="10">
      <c r="A10" s="8" t="inlineStr">
        <is>
          <t>ELECTRICALS</t>
        </is>
      </c>
      <c r="B10" s="9" t="n">
        <v>2901</v>
      </c>
      <c r="C10" s="9" t="n">
        <v>431.7635999999999</v>
      </c>
      <c r="D10" s="10" t="n">
        <v>0.1488326783867632</v>
      </c>
      <c r="E10" s="9" t="n">
        <v>45</v>
      </c>
    </row>
    <row r="12">
      <c r="A12" s="20" t="inlineStr">
        <is>
          <t>Performance Notes</t>
        </is>
      </c>
    </row>
    <row r="13">
      <c r="A13" s="22" t="inlineStr">
        <is>
          <t xml:space="preserve">  Sales 100% below team average - needs improvement</t>
        </is>
      </c>
    </row>
    <row r="14">
      <c r="A14" s="23" t="inlineStr">
        <is>
          <t xml:space="preserve">  General Hardware: 0.0% of dept, 14.9% margin</t>
        </is>
      </c>
    </row>
    <row r="15">
      <c r="A15" s="21" t="inlineStr">
        <is>
          <t xml:space="preserve">  Selling across all 4 categories - excellent product range</t>
        </is>
      </c>
    </row>
    <row r="16">
      <c r="A16" s="23" t="inlineStr">
        <is>
          <t xml:space="preserve">  Best margin in GENERAL HARDWARE: 14.9%</t>
        </is>
      </c>
    </row>
    <row r="17">
      <c r="A17" s="22" t="inlineStr">
        <is>
          <t xml:space="preserve">  Low contribution at 0.0% of total branch sales - growth opportunity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Unknown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-2720</v>
      </c>
      <c r="B4" s="9" t="n">
        <v>-539.7364</v>
      </c>
      <c r="C4" s="10" t="n">
        <v>0</v>
      </c>
      <c r="D4" s="9" t="n">
        <v>-5</v>
      </c>
      <c r="E4" s="8" t="n">
        <v>10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-820</v>
      </c>
      <c r="C7" s="9" t="n">
        <v>-244.0176</v>
      </c>
      <c r="D7" s="10" t="n">
        <v>0</v>
      </c>
      <c r="E7" s="9" t="n">
        <v>-4</v>
      </c>
    </row>
    <row r="8">
      <c r="A8" s="8" t="inlineStr">
        <is>
          <t>PAINTS</t>
        </is>
      </c>
      <c r="B8" s="9" t="n">
        <v>-1900</v>
      </c>
      <c r="C8" s="9" t="n">
        <v>-295.7188</v>
      </c>
      <c r="D8" s="10" t="n">
        <v>0</v>
      </c>
      <c r="E8" s="9" t="n">
        <v>-1</v>
      </c>
    </row>
    <row r="10">
      <c r="A10" s="20" t="inlineStr">
        <is>
          <t>Performance Notes</t>
        </is>
      </c>
    </row>
    <row r="11">
      <c r="A11" s="22" t="inlineStr">
        <is>
          <t xml:space="preserve">  Sales 100% below team average - needs improvement</t>
        </is>
      </c>
    </row>
    <row r="12">
      <c r="A12" s="22" t="inlineStr">
        <is>
          <t xml:space="preserve">  Margin at 0.0% below team average of 11.3%</t>
        </is>
      </c>
    </row>
    <row r="13">
      <c r="A13" s="23" t="inlineStr">
        <is>
          <t xml:space="preserve">  General Hardware: -0.0% of dept, 0.0% margin</t>
        </is>
      </c>
    </row>
    <row r="14">
      <c r="A14" s="22" t="inlineStr">
        <is>
          <t xml:space="preserve">  Limited to 2 categories - expand into PLUMBING, ELECTRICALS</t>
        </is>
      </c>
    </row>
    <row r="15">
      <c r="A15" s="23" t="inlineStr">
        <is>
          <t xml:space="preserve">  Best margin in GENERAL HARDWARE: 0.0%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2026-04-06T06:26:45Z</dcterms:created>
  <dcterms:modified xmlns:dcterms="http://purl.org/dc/terms/" xmlns:xsi="http://www.w3.org/2001/XMLSchema-instance" xsi:type="dcterms:W3CDTF">2026-04-06T06:26:45Z</dcterms:modified>
</cp:coreProperties>
</file>